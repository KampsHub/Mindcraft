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tup Status" sheetId="1" state="visible" r:id="rId1"/>
    <sheet xmlns:r="http://schemas.openxmlformats.org/officeDocument/2006/relationships" name="GA4 Definitions" sheetId="2" state="visible" r:id="rId2"/>
    <sheet xmlns:r="http://schemas.openxmlformats.org/officeDocument/2006/relationships" name="Events Reference" sheetId="3" state="visible" r:id="rId3"/>
    <sheet xmlns:r="http://schemas.openxmlformats.org/officeDocument/2006/relationships" name="Qualitative Sources" sheetId="4" state="visible" r:id="rId4"/>
    <sheet xmlns:r="http://schemas.openxmlformats.org/officeDocument/2006/relationships" name="Weekly Funnel" sheetId="5" state="visible" r:id="rId5"/>
    <sheet xmlns:r="http://schemas.openxmlformats.org/officeDocument/2006/relationships" name="Channel Breakdown" sheetId="6" state="visible" r:id="rId6"/>
    <sheet xmlns:r="http://schemas.openxmlformats.org/officeDocument/2006/relationships" name="Raw Data Log" sheetId="7" state="visible" r:id="rId7"/>
    <sheet xmlns:r="http://schemas.openxmlformats.org/officeDocument/2006/relationships" name="Setup Guide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\$#,##0.00"/>
    <numFmt numFmtId="166" formatCode="0.0\x"/>
    <numFmt numFmtId="167" formatCode="yyyy-mm-dd"/>
    <numFmt numFmtId="168" formatCode="#,##0;(#,##0);-"/>
  </numFmts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2A4A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1B2A4A"/>
      <sz val="10"/>
    </font>
    <font>
      <name val="Arial"/>
      <color rgb="FF0000FF"/>
      <sz val="10"/>
    </font>
    <font>
      <name val="Arial"/>
      <b val="1"/>
      <color rgb="FFFFFFFF"/>
      <sz val="11"/>
    </font>
    <font>
      <name val="Arial"/>
      <i val="1"/>
      <color rgb="FF666666"/>
      <sz val="9"/>
    </font>
    <font>
      <name val="Arial"/>
      <b val="1"/>
      <color rgb="FF1B2A4A"/>
      <sz val="14"/>
    </font>
    <font>
      <name val="Arial"/>
      <color rgb="FF000000"/>
      <sz val="10"/>
    </font>
    <font>
      <name val="Arial"/>
      <b val="1"/>
      <color rgb="FF000000"/>
      <sz val="10"/>
    </font>
    <font>
      <name val="Arial"/>
      <color rgb="FF000000"/>
      <sz val="9"/>
    </font>
    <font>
      <name val="Arial"/>
      <b val="1"/>
      <color rgb="FF1B2A4A"/>
      <sz val="11"/>
    </font>
    <font>
      <name val="Arial"/>
      <b val="1"/>
      <color rgb="FFFFFFFF"/>
      <sz val="10"/>
    </font>
    <font>
      <name val="Arial"/>
      <color rgb="FF666666"/>
      <sz val="9"/>
    </font>
    <font>
      <name val="Arial"/>
      <color rgb="FF0000FF"/>
      <sz val="9"/>
    </font>
    <font>
      <name val="Arial"/>
      <color rgb="FF555555"/>
      <sz val="9"/>
    </font>
    <font>
      <name val="Arial"/>
      <color rgb="FF008000"/>
      <sz val="9"/>
    </font>
    <font>
      <name val="Arial"/>
      <color rgb="FF0000FF"/>
      <sz val="9"/>
      <u val="single"/>
    </font>
  </fonts>
  <fills count="13">
    <fill>
      <patternFill/>
    </fill>
    <fill>
      <patternFill patternType="gray125"/>
    </fill>
    <fill>
      <patternFill patternType="solid">
        <fgColor rgb="FFF5E6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D4A03C"/>
        <bgColor rgb="FFFF8080"/>
      </patternFill>
    </fill>
    <fill>
      <patternFill patternType="solid">
        <fgColor rgb="FF1B2A4A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1B2A4A"/>
      </patternFill>
    </fill>
    <fill>
      <patternFill patternType="solid">
        <fgColor rgb="FFF5E6CC"/>
      </patternFill>
    </fill>
    <fill>
      <patternFill patternType="solid">
        <fgColor rgb="FFD8E8D8"/>
      </patternFill>
    </fill>
    <fill>
      <patternFill patternType="solid">
        <fgColor rgb="FFF2D4D4"/>
      </patternFill>
    </fill>
    <fill>
      <patternFill patternType="solid">
        <fgColor rgb="FFEDEDED"/>
      </patternFill>
    </fill>
    <fill>
      <patternFill patternType="solid">
        <fgColor rgb="FFD4A03C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10" fontId="8" fillId="3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 wrapText="1"/>
    </xf>
    <xf numFmtId="166" fontId="8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0" fontId="8" fillId="6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166" fontId="8" fillId="6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5" fillId="8" borderId="0" applyAlignment="1" pivotButton="0" quotePrefix="0" xfId="0">
      <alignment horizontal="left" vertical="center" wrapText="1"/>
    </xf>
    <xf numFmtId="0" fontId="13" fillId="7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top" wrapText="1"/>
    </xf>
    <xf numFmtId="0" fontId="17" fillId="9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top" wrapText="1"/>
    </xf>
    <xf numFmtId="0" fontId="17" fillId="10" borderId="0" applyAlignment="1" pivotButton="0" quotePrefix="0" xfId="0">
      <alignment horizontal="left" vertical="top" wrapText="1"/>
    </xf>
    <xf numFmtId="0" fontId="17" fillId="8" borderId="0" applyAlignment="1" pivotButton="0" quotePrefix="0" xfId="0">
      <alignment horizontal="left" vertical="top" wrapText="1"/>
    </xf>
    <xf numFmtId="0" fontId="17" fillId="11" borderId="0" applyAlignment="1" pivotButton="0" quotePrefix="0" xfId="0">
      <alignment horizontal="left" vertical="top" wrapText="1"/>
    </xf>
    <xf numFmtId="0" fontId="19" fillId="12" borderId="0" applyAlignment="1" pivotButton="0" quotePrefix="0" xfId="0">
      <alignment horizontal="left" vertical="center" wrapText="1"/>
    </xf>
    <xf numFmtId="0" fontId="20" fillId="7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top" wrapText="1"/>
    </xf>
    <xf numFmtId="0" fontId="16" fillId="8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5" borderId="1" applyAlignment="1" pivotButton="0" quotePrefix="0" xfId="0">
      <alignment horizontal="center" vertical="center" wrapText="1"/>
    </xf>
    <xf numFmtId="167" fontId="12" fillId="3" borderId="1" applyAlignment="1" pivotButton="0" quotePrefix="0" xfId="0">
      <alignment horizontal="center" vertical="center" wrapText="1"/>
    </xf>
    <xf numFmtId="168" fontId="12" fillId="3" borderId="1" applyAlignment="1" pivotButton="0" quotePrefix="0" xfId="0">
      <alignment horizontal="center" vertical="center" wrapText="1"/>
    </xf>
    <xf numFmtId="164" fontId="8" fillId="3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3" borderId="1" applyAlignment="1" pivotButton="0" quotePrefix="0" xfId="0">
      <alignment horizontal="center" vertical="center" wrapText="1"/>
    </xf>
    <xf numFmtId="10" fontId="8" fillId="3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 wrapText="1"/>
    </xf>
    <xf numFmtId="166" fontId="8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10" fontId="8" fillId="6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166" fontId="8" fillId="6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11" fillId="2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4" fillId="0" borderId="0" pivotButton="0" quotePrefix="0" xfId="0"/>
    <xf numFmtId="0" fontId="24" fillId="0" borderId="0" applyAlignment="1" pivotButton="0" quotePrefix="0" xfId="0">
      <alignment horizontal="left" vertical="top" wrapText="1"/>
    </xf>
    <xf numFmtId="0" fontId="24" fillId="7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top" wrapText="1"/>
    </xf>
    <xf numFmtId="0" fontId="25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28B22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6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03C"/>
      <rgbColor rgb="FFFF6600"/>
      <rgbColor rgb="FF666666"/>
      <rgbColor rgb="FF969696"/>
      <rgbColor rgb="FF1B2A4A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hyperlink" Target="https://supabase.com/dashboard/project/rmdjglepocaswpplwgik/editor?table=coaching_applications&amp;sort=created_at.desc" TargetMode="External" Id="rId1"/><Relationship Type="http://schemas.openxmlformats.org/officeDocument/2006/relationships/hyperlink" Target="https://supabase.com/dashboard/project/rmdjglepocaswpplwgik/editor?table=exit_surveys&amp;sort=created_at.desc" TargetMode="External" Id="rId2"/><Relationship Type="http://schemas.openxmlformats.org/officeDocument/2006/relationships/hyperlink" Target="https://supabase.com/dashboard/project/rmdjglepocaswpplwgik/editor?table=testimonial_surveys&amp;sort=created_at.desc" TargetMode="External" Id="rId3"/><Relationship Type="http://schemas.openxmlformats.org/officeDocument/2006/relationships/hyperlink" Target="https://supabase.com/dashboard/project/rmdjglepocaswpplwgik/editor?table=assessment_responses&amp;sort=created_at.desc" TargetMode="External" Id="rId4"/><Relationship Type="http://schemas.openxmlformats.org/officeDocument/2006/relationships/hyperlink" Target="https://supabase.com/dashboard/project/rmdjglepocaswpplwgik/editor?table=program_enrollments&amp;sort=created_at.desc" TargetMode="External" Id="rId5"/><Relationship Type="http://schemas.openxmlformats.org/officeDocument/2006/relationships/hyperlink" Target="https://supabase.com/dashboard/project/rmdjglepocaswpplwgik/editor?table=testimonials&amp;sort=created_at.desc" TargetMode="External" Id="rId6"/><Relationship Type="http://schemas.openxmlformats.org/officeDocument/2006/relationships/hyperlink" Target="https://supabase.com/dashboard/project/rmdjglepocaswpplwgik/editor?table=feedback_entries&amp;sort=created_at.desc" TargetMode="External" Id="rId7"/><Relationship Type="http://schemas.openxmlformats.org/officeDocument/2006/relationships/hyperlink" Target="https://supabase.com/dashboard/project/rmdjglepocaswpplwgik/editor?table=quality_flags&amp;sort=created_at.desc" TargetMode="External" Id="rId8"/><Relationship Type="http://schemas.openxmlformats.org/officeDocument/2006/relationships/hyperlink" Target="https://supabase.com/dashboard/project/rmdjglepocaswpplwgik/editor?table=weekly_reviews&amp;sort=created_at.desc" TargetMode="External" Id="rId9"/><Relationship Type="http://schemas.openxmlformats.org/officeDocument/2006/relationships/hyperlink" Target="https://supabase.com/dashboard/project/rmdjglepocaswpplwgik/editor?table=daily_sessions&amp;sort=completed_at.desc" TargetMode="External" Id="rId10"/><Relationship Type="http://schemas.openxmlformats.org/officeDocument/2006/relationships/hyperlink" Target="https://supabase.com/dashboard/project/rmdjglepocaswpplwgik/editor?table=exercise_completions&amp;sort=completed_at.desc" TargetMode="External" Id="rId11"/><Relationship Type="http://schemas.openxmlformats.org/officeDocument/2006/relationships/hyperlink" Target="https://supabase.com/dashboard/project/rmdjglepocaswpplwgik/editor?table=final_insights&amp;sort=created_at.desc" TargetMode="External" Id="rId12"/><Relationship Type="http://schemas.openxmlformats.org/officeDocument/2006/relationships/hyperlink" Target="https://supabase.com/dashboard/project/rmdjglepocaswpplwgik/editor?table=waitlist_signups&amp;sort=created_at.desc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style="30" min="1" max="1"/>
    <col width="38" customWidth="1" style="30" min="2" max="2"/>
    <col width="12" customWidth="1" style="30" min="3" max="3"/>
    <col width="80" customWidth="1" style="30" min="4" max="4"/>
  </cols>
  <sheetData>
    <row r="1" ht="28" customHeight="1" s="30">
      <c r="A1" s="31" t="inlineStr">
        <is>
          <t>MINDCRAFT — Analytics Setup Status (as of 2026-04-07)</t>
        </is>
      </c>
    </row>
    <row r="2">
      <c r="A2" s="80" t="inlineStr">
        <is>
          <t>Last updated: 2026-04-07</t>
        </is>
      </c>
    </row>
    <row r="3">
      <c r="A3" s="32" t="inlineStr">
        <is>
          <t>Phase</t>
        </is>
      </c>
      <c r="B3" s="32" t="inlineStr">
        <is>
          <t>Item</t>
        </is>
      </c>
      <c r="C3" s="32" t="inlineStr">
        <is>
          <t>Status</t>
        </is>
      </c>
      <c r="D3" s="32" t="inlineStr">
        <is>
          <t>Notes / next action</t>
        </is>
      </c>
    </row>
    <row r="4" ht="36" customHeight="1" s="30">
      <c r="A4" s="33" t="inlineStr">
        <is>
          <t>1. Code instrumentation</t>
        </is>
      </c>
      <c r="B4" s="33" t="inlineStr">
        <is>
          <t>GA4 user properties + setUserId</t>
        </is>
      </c>
      <c r="C4" s="34" t="inlineStr">
        <is>
          <t>DONE</t>
        </is>
      </c>
      <c r="D4" s="35" t="inlineStr">
        <is>
          <t>Wired in AnalyticsSessionBoundary on dashboard. Sets current_program, enrollment_status, days_since_purchase, days_since_last_activity, highest_day_reached, programs_completed_count, has_had_3d_gap, has_had_7d_gap, program_cohort.</t>
        </is>
      </c>
    </row>
    <row r="5" ht="36" customHeight="1" s="30">
      <c r="A5" s="33" t="inlineStr">
        <is>
          <t>1. Code instrumentation</t>
        </is>
      </c>
      <c r="B5" s="33" t="inlineStr">
        <is>
          <t>Client-side analytics lib</t>
        </is>
      </c>
      <c r="C5" s="34" t="inlineStr">
        <is>
          <t>DONE</t>
        </is>
      </c>
      <c r="D5" s="35" t="inlineStr">
        <is>
          <t>src/lib/analytics.ts — inactivity gap detection, return_visit_dN events.</t>
        </is>
      </c>
    </row>
    <row r="6" ht="36" customHeight="1" s="30">
      <c r="A6" s="33" t="inlineStr">
        <is>
          <t>1. Code instrumentation</t>
        </is>
      </c>
      <c r="B6" s="33" t="inlineStr">
        <is>
          <t>Server-side GA4 Measurement Protocol</t>
        </is>
      </c>
      <c r="C6" s="34" t="inlineStr">
        <is>
          <t>DONE</t>
        </is>
      </c>
      <c r="D6" s="35" t="inlineStr">
        <is>
          <t>src/lib/ga-measurement-protocol.ts — used by Stripe webhook, dropout cron, process-journal failures.</t>
        </is>
      </c>
    </row>
    <row r="7" ht="36" customHeight="1" s="30">
      <c r="A7" s="33" t="inlineStr">
        <is>
          <t>1. Code instrumentation</t>
        </is>
      </c>
      <c r="B7" s="33" t="inlineStr">
        <is>
          <t>ScrollDepth + ScrollTracker components</t>
        </is>
      </c>
      <c r="C7" s="34" t="inlineStr">
        <is>
          <t>DONE</t>
        </is>
      </c>
      <c r="D7" s="35" t="inlineStr">
        <is>
          <t>Wrapped pricing/sections on parachute, jetstream, basecamp, homepage.</t>
        </is>
      </c>
    </row>
    <row r="8" ht="36" customHeight="1" s="30">
      <c r="A8" s="33" t="inlineStr">
        <is>
          <t>1. Code instrumentation</t>
        </is>
      </c>
      <c r="B8" s="33" t="inlineStr">
        <is>
          <t>Day flow events (started/completed/abandoned)</t>
        </is>
      </c>
      <c r="C8" s="34" t="inlineStr">
        <is>
          <t>DONE</t>
        </is>
      </c>
      <c r="D8" s="35" t="inlineStr">
        <is>
          <t>Including parity for jetstream + basecamp (was parachute-only).</t>
        </is>
      </c>
    </row>
    <row r="9" ht="36" customHeight="1" s="30">
      <c r="A9" s="33" t="inlineStr">
        <is>
          <t>1. Code instrumentation</t>
        </is>
      </c>
      <c r="B9" s="33" t="inlineStr">
        <is>
          <t>Exercise + journal events</t>
        </is>
      </c>
      <c r="C9" s="34" t="inlineStr">
        <is>
          <t>DONE</t>
        </is>
      </c>
      <c r="D9" s="35" t="inlineStr">
        <is>
          <t>exercise_started/completed/abandoned/star_rating/feedback_submitted, journal_entry_started/saved/short/processed.</t>
        </is>
      </c>
    </row>
    <row r="10" ht="36" customHeight="1" s="30">
      <c r="A10" s="33" t="inlineStr">
        <is>
          <t>1. Code instrumentation</t>
        </is>
      </c>
      <c r="B10" s="33" t="inlineStr">
        <is>
          <t>Upsell view + click events</t>
        </is>
      </c>
      <c r="C10" s="34" t="inlineStr">
        <is>
          <t>DONE</t>
        </is>
      </c>
      <c r="D10" s="35" t="inlineStr">
        <is>
          <t>Both Enneagram and Coaching paths instrumented separately.</t>
        </is>
      </c>
    </row>
    <row r="11" ht="36" customHeight="1" s="30">
      <c r="A11" s="33" t="inlineStr">
        <is>
          <t>1. Code instrumentation</t>
        </is>
      </c>
      <c r="B11" s="33" t="inlineStr">
        <is>
          <t>Quality signals</t>
        </is>
      </c>
      <c r="C11" s="34" t="inlineStr">
        <is>
          <t>DONE</t>
        </is>
      </c>
      <c r="D11" s="35" t="inlineStr">
        <is>
          <t>ai_generation_failed, ai_generation_slow, crisis_detected, rate_limit_hit, error_boundary_caught, auth_login_failed.</t>
        </is>
      </c>
    </row>
    <row r="12" ht="36" customHeight="1" s="30">
      <c r="A12" s="33" t="inlineStr">
        <is>
          <t>2. Database schema</t>
        </is>
      </c>
      <c r="B12" s="33" t="inlineStr">
        <is>
          <t>enrollments-activity-tracking.sql</t>
        </is>
      </c>
      <c r="C12" s="34" t="inlineStr">
        <is>
          <t>DONE</t>
        </is>
      </c>
      <c r="D12" s="35" t="inlineStr">
        <is>
          <t>You ran this. Adds last_active_at, ga_client_id, max_inactivity_days, had_3d_gap, had_7d_gap, trigger on daily_sessions, backfill, index.</t>
        </is>
      </c>
    </row>
    <row r="13" ht="36" customHeight="1" s="30">
      <c r="A13" s="33" t="inlineStr">
        <is>
          <t>2. Database schema</t>
        </is>
      </c>
      <c r="B13" s="33" t="inlineStr">
        <is>
          <t>enrollments-lapsed-status.sql</t>
        </is>
      </c>
      <c r="C13" s="34" t="inlineStr">
        <is>
          <t>DONE</t>
        </is>
      </c>
      <c r="D13" s="35" t="inlineStr">
        <is>
          <t>You ran this. Added "lapsed" to status enum.</t>
        </is>
      </c>
    </row>
    <row r="14" ht="36" customHeight="1" s="30">
      <c r="A14" s="33" t="inlineStr">
        <is>
          <t>3. Stripe webhook</t>
        </is>
      </c>
      <c r="B14" s="33" t="inlineStr">
        <is>
          <t>Code: /api/webhooks/stripe</t>
        </is>
      </c>
      <c r="C14" s="34" t="inlineStr">
        <is>
          <t>DONE</t>
        </is>
      </c>
      <c r="D14" s="35" t="inlineStr">
        <is>
          <t>Handles checkout.session.completed, .expired, .async_payment_failed. Includes second_program_started detection.</t>
        </is>
      </c>
    </row>
    <row r="15" ht="36" customHeight="1" s="30">
      <c r="A15" s="33" t="inlineStr">
        <is>
          <t>3. Stripe webhook</t>
        </is>
      </c>
      <c r="B15" s="33" t="inlineStr">
        <is>
          <t>Stripe dashboard endpoint registration</t>
        </is>
      </c>
      <c r="C15" s="36" t="inlineStr">
        <is>
          <t>PENDING</t>
        </is>
      </c>
      <c r="D15" s="35" t="inlineStr">
        <is>
          <t>Stripe → Developers → Webhooks → Add endpoint → https://mindcraft.ing/api/webhooks/stripe → select 3 events → copy signing secret. Task: 2026-04-07-configure-stripe-webhook-mindcraft.md (due 2026-04-14).</t>
        </is>
      </c>
    </row>
    <row r="16" ht="36" customHeight="1" s="30">
      <c r="A16" s="33" t="inlineStr">
        <is>
          <t>3. Stripe webhook</t>
        </is>
      </c>
      <c r="B16" s="33" t="inlineStr">
        <is>
          <t>STRIPE_WEBHOOK_SECRET in Vercel env</t>
        </is>
      </c>
      <c r="C16" s="36" t="inlineStr">
        <is>
          <t>PENDING</t>
        </is>
      </c>
      <c r="D16" s="35" t="inlineStr">
        <is>
          <t>Set after creating endpoint above. Then redeploy.</t>
        </is>
      </c>
    </row>
    <row r="17" ht="36" customHeight="1" s="30">
      <c r="A17" s="33" t="inlineStr">
        <is>
          <t>4. Vercel env vars</t>
        </is>
      </c>
      <c r="B17" s="33" t="inlineStr">
        <is>
          <t>GA4_API_SECRET</t>
        </is>
      </c>
      <c r="C17" s="34" t="inlineStr">
        <is>
          <t>DONE</t>
        </is>
      </c>
      <c r="D17" s="35" t="inlineStr">
        <is>
          <t>Confirmed in Vercel env vars on 2026-04-07.</t>
        </is>
      </c>
    </row>
    <row r="18" ht="36" customHeight="1" s="30">
      <c r="A18" s="33" t="inlineStr">
        <is>
          <t>4. Vercel env vars</t>
        </is>
      </c>
      <c r="B18" s="33" t="inlineStr">
        <is>
          <t>GA4_MEASUREMENT_ID</t>
        </is>
      </c>
      <c r="C18" s="34" t="inlineStr">
        <is>
          <t>DONE</t>
        </is>
      </c>
      <c r="D18" s="35" t="inlineStr">
        <is>
          <t>Confirmed: G-6HTGC2PZMW set in Vercel env vars on 2026-04-07.</t>
        </is>
      </c>
    </row>
    <row r="19" ht="36" customHeight="1" s="30">
      <c r="A19" s="33" t="inlineStr">
        <is>
          <t>5. GA4 admin setup</t>
        </is>
      </c>
      <c r="B19" s="33" t="inlineStr">
        <is>
          <t>Custom dimensions (16 total)</t>
        </is>
      </c>
      <c r="C19" s="34" t="inlineStr">
        <is>
          <t>DONE</t>
        </is>
      </c>
      <c r="D19" s="35" t="inlineStr">
        <is>
          <t>All 16 dimensions registered in GA4 admin on 2026-04-07. See "GA4 Definitions" sheet for the registered list.</t>
        </is>
      </c>
    </row>
    <row r="20" ht="36" customHeight="1" s="30">
      <c r="A20" s="33" t="inlineStr">
        <is>
          <t>5. GA4 admin setup</t>
        </is>
      </c>
      <c r="B20" s="33" t="inlineStr">
        <is>
          <t>Custom metrics (7 total)</t>
        </is>
      </c>
      <c r="C20" s="34" t="inlineStr">
        <is>
          <t>DONE</t>
        </is>
      </c>
      <c r="D20" s="35" t="inlineStr">
        <is>
          <t>All 7 metrics registered in GA4 admin on 2026-04-07. See "GA4 Definitions" sheet.</t>
        </is>
      </c>
    </row>
    <row r="21" ht="36" customHeight="1" s="30">
      <c r="A21" s="33" t="inlineStr">
        <is>
          <t>5. GA4 admin setup</t>
        </is>
      </c>
      <c r="B21" s="33" t="inlineStr">
        <is>
          <t>Mark 11 key events</t>
        </is>
      </c>
      <c r="C21" s="38" t="inlineStr">
        <is>
          <t>WAIT</t>
        </is>
      </c>
      <c r="D21" s="35" t="inlineStr">
        <is>
          <t>Wait until events appear in GA4 Recent events list (needs real traffic OR will appear within 24h of test fires from 2026-04-07). Task: 2026-04-08-mark-ga4-key-events.md.</t>
        </is>
      </c>
    </row>
    <row r="22" ht="36" customHeight="1" s="30">
      <c r="A22" s="33" t="inlineStr">
        <is>
          <t>5. GA4 admin setup</t>
        </is>
      </c>
      <c r="B22" s="33" t="inlineStr">
        <is>
          <t>Build 9 funnels</t>
        </is>
      </c>
      <c r="C22" s="38" t="inlineStr">
        <is>
          <t>WAIT</t>
        </is>
      </c>
      <c r="D22" s="35" t="inlineStr">
        <is>
          <t>Wait for traffic. Task: 2026-04-20-ga4-funnels-after-traffic.md.</t>
        </is>
      </c>
    </row>
    <row r="23" ht="36" customHeight="1" s="30">
      <c r="A23" s="33" t="inlineStr">
        <is>
          <t>5. GA4 admin setup</t>
        </is>
      </c>
      <c r="B23" s="33" t="inlineStr">
        <is>
          <t>Build 4 audiences</t>
        </is>
      </c>
      <c r="C23" s="38" t="inlineStr">
        <is>
          <t>WAIT</t>
        </is>
      </c>
      <c r="D23" s="35" t="inlineStr">
        <is>
          <t>Same task as above.</t>
        </is>
      </c>
    </row>
    <row r="24" ht="36" customHeight="1" s="30">
      <c r="A24" s="33" t="inlineStr">
        <is>
          <t>6. Spreadsheet data pipes</t>
        </is>
      </c>
      <c r="B24" s="33" t="inlineStr">
        <is>
          <t>GA4 → Sheets add-on (this workbook)</t>
        </is>
      </c>
      <c r="C24" s="36" t="inlineStr">
        <is>
          <t>PENDING</t>
        </is>
      </c>
      <c r="D24" s="35" t="inlineStr">
        <is>
          <t>See "Setup Guide" sheet steps 1-2. Hook GA4 to Raw Data Log so Weekly Funnel populates automatically.</t>
        </is>
      </c>
    </row>
    <row r="25" ht="36" customHeight="1" s="30">
      <c r="A25" s="33" t="inlineStr">
        <is>
          <t>6. Spreadsheet data pipes</t>
        </is>
      </c>
      <c r="B25" s="33" t="inlineStr">
        <is>
          <t>Google Ads → Sheets add-on</t>
        </is>
      </c>
      <c r="C25" s="38" t="inlineStr">
        <is>
          <t>N/A YET</t>
        </is>
      </c>
      <c r="D25" s="35" t="inlineStr">
        <is>
          <t>Only needed once you start running paid ads.</t>
        </is>
      </c>
    </row>
    <row r="26" ht="36" customHeight="1" s="30">
      <c r="A26" s="33" t="inlineStr">
        <is>
          <t>6. Spreadsheet data pipes</t>
        </is>
      </c>
      <c r="B26" s="33" t="inlineStr">
        <is>
          <t>Meta Ads CSV pull</t>
        </is>
      </c>
      <c r="C26" s="38" t="inlineStr">
        <is>
          <t>N/A YET</t>
        </is>
      </c>
      <c r="D26" s="35" t="inlineStr">
        <is>
          <t>Only needed once you start running paid ads.</t>
        </is>
      </c>
    </row>
    <row r="27" ht="36" customHeight="1" s="30">
      <c r="A27" s="33" t="inlineStr">
        <is>
          <t>6. Spreadsheet data pipes</t>
        </is>
      </c>
      <c r="B27" s="33" t="inlineStr">
        <is>
          <t>Stripe CSV pull</t>
        </is>
      </c>
      <c r="C27" s="36" t="inlineStr">
        <is>
          <t>PENDING</t>
        </is>
      </c>
      <c r="D27" s="35" t="inlineStr">
        <is>
          <t>Manual weekly pull. Skip until you have purchases to log.</t>
        </is>
      </c>
    </row>
    <row r="28" ht="36" customHeight="1" s="30">
      <c r="A28" s="33" t="inlineStr">
        <is>
          <t>7. Acquisition / traffic</t>
        </is>
      </c>
      <c r="B28" s="33" t="inlineStr">
        <is>
          <t>Drive real users to mindcraft.ing</t>
        </is>
      </c>
      <c r="C28" s="36" t="inlineStr">
        <is>
          <t>BLOCKED</t>
        </is>
      </c>
      <c r="D28" s="35" t="inlineStr">
        <is>
          <t>Everything downstream is empty until you have real users. This is the actual blocker for getting value out of the analytics setup.</t>
        </is>
      </c>
    </row>
    <row r="29" ht="60" customHeight="1" s="30">
      <c r="A29" s="33" t="inlineStr">
        <is>
          <t>8. Qualitative data persistence</t>
        </is>
      </c>
      <c r="B29" s="33" t="inlineStr">
        <is>
          <t>qualitative-data-tables.sql</t>
        </is>
      </c>
      <c r="C29" s="36" t="inlineStr">
        <is>
          <t>PENDING</t>
        </is>
      </c>
      <c r="D29" s="35" t="inlineStr">
        <is>
          <t>Run supabase/qualitative-data-tables.sql in Supabase SQL Editor. Adds 4 tables: coaching_applications, exit_surveys, testimonial_surveys, assessment_responses. Until run, the API routes /api/exit-survey, /api/testimonial-survey, /api/assessment will fail (and /api/apply will silently skip the persist step).</t>
        </is>
      </c>
    </row>
    <row r="30" ht="36" customHeight="1" s="30">
      <c r="A30" s="33" t="inlineStr">
        <is>
          <t>8. Qualitative data persistence</t>
        </is>
      </c>
      <c r="B30" s="33" t="inlineStr">
        <is>
          <t>4 new API routes deployed</t>
        </is>
      </c>
      <c r="C30" s="34" t="inlineStr">
        <is>
          <t>DONE</t>
        </is>
      </c>
      <c r="D30" s="35" t="inlineStr">
        <is>
          <t>/api/exit-survey, /api/testimonial-survey, /api/assessment created. /api/apply extended to persist.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style="30" min="1" max="1"/>
    <col width="12" customWidth="1" style="30" min="2" max="2"/>
    <col width="26" customWidth="1" style="30" min="3" max="3"/>
    <col width="50" customWidth="1" style="30" min="4" max="4"/>
    <col width="13" customWidth="1" style="30" min="5" max="5"/>
  </cols>
  <sheetData>
    <row r="1" ht="28" customHeight="1" s="30">
      <c r="A1" s="31" t="inlineStr">
        <is>
          <t>MINDCRAFT — GA4 custom dimensions, metrics, and events to register</t>
        </is>
      </c>
    </row>
    <row r="3">
      <c r="A3" s="39" t="inlineStr">
        <is>
          <t>CUSTOM DIMENSIONS (Admin → Custom definitions → Custom dimensions → Create)</t>
        </is>
      </c>
    </row>
    <row r="4">
      <c r="A4" s="40" t="inlineStr">
        <is>
          <t>Friendly name</t>
        </is>
      </c>
      <c r="B4" s="40" t="inlineStr">
        <is>
          <t>Scope</t>
        </is>
      </c>
      <c r="C4" s="40" t="inlineStr">
        <is>
          <t>Parameter / property</t>
        </is>
      </c>
      <c r="D4" s="40" t="inlineStr">
        <is>
          <t>Description</t>
        </is>
      </c>
      <c r="E4" s="40" t="inlineStr">
        <is>
          <t>Status</t>
        </is>
      </c>
    </row>
    <row r="5">
      <c r="A5" s="33" t="inlineStr">
        <is>
          <t>Program</t>
        </is>
      </c>
      <c r="B5" s="33" t="inlineStr">
        <is>
          <t>Event</t>
        </is>
      </c>
      <c r="C5" s="41" t="inlineStr">
        <is>
          <t>program</t>
        </is>
      </c>
      <c r="D5" s="35" t="inlineStr">
        <is>
          <t>Program slug (parachute, jetstream, basecamp, enneagram)</t>
        </is>
      </c>
      <c r="E5" s="81" t="inlineStr">
        <is>
          <t>☑ Registered 2026-04-07</t>
        </is>
      </c>
    </row>
    <row r="6">
      <c r="A6" s="33" t="inlineStr">
        <is>
          <t>Day number</t>
        </is>
      </c>
      <c r="B6" s="33" t="inlineStr">
        <is>
          <t>Event</t>
        </is>
      </c>
      <c r="C6" s="41" t="inlineStr">
        <is>
          <t>day_number</t>
        </is>
      </c>
      <c r="D6" s="35" t="inlineStr">
        <is>
          <t>Day number within a program (1-30)</t>
        </is>
      </c>
      <c r="E6" s="81" t="inlineStr">
        <is>
          <t>☑ Registered 2026-04-07</t>
        </is>
      </c>
    </row>
    <row r="7">
      <c r="A7" s="33" t="inlineStr">
        <is>
          <t>Tier</t>
        </is>
      </c>
      <c r="B7" s="33" t="inlineStr">
        <is>
          <t>Event</t>
        </is>
      </c>
      <c r="C7" s="41" t="inlineStr">
        <is>
          <t>tier</t>
        </is>
      </c>
      <c r="D7" s="35" t="inlineStr">
        <is>
          <t>Pricing tier on checkout/purchase events</t>
        </is>
      </c>
      <c r="E7" s="81" t="inlineStr">
        <is>
          <t>☑ Registered 2026-04-07</t>
        </is>
      </c>
    </row>
    <row r="8">
      <c r="A8" s="33" t="inlineStr">
        <is>
          <t>Framework name</t>
        </is>
      </c>
      <c r="B8" s="33" t="inlineStr">
        <is>
          <t>Event</t>
        </is>
      </c>
      <c r="C8" s="41" t="inlineStr">
        <is>
          <t>framework_name</t>
        </is>
      </c>
      <c r="D8" s="35" t="inlineStr">
        <is>
          <t>Name of the exercise framework</t>
        </is>
      </c>
      <c r="E8" s="81" t="inlineStr">
        <is>
          <t>☑ Registered 2026-04-07</t>
        </is>
      </c>
    </row>
    <row r="9">
      <c r="A9" s="33" t="inlineStr">
        <is>
          <t>Exercise type</t>
        </is>
      </c>
      <c r="B9" s="33" t="inlineStr">
        <is>
          <t>Event</t>
        </is>
      </c>
      <c r="C9" s="41" t="inlineStr">
        <is>
          <t>exercise_type</t>
        </is>
      </c>
      <c r="D9" s="35" t="inlineStr">
        <is>
          <t>coaching_plan | overflow | framework_analysis</t>
        </is>
      </c>
      <c r="E9" s="81" t="inlineStr">
        <is>
          <t>☑ Registered 2026-04-07</t>
        </is>
      </c>
    </row>
    <row r="10">
      <c r="A10" s="33" t="inlineStr">
        <is>
          <t>Last day number</t>
        </is>
      </c>
      <c r="B10" s="33" t="inlineStr">
        <is>
          <t>Event</t>
        </is>
      </c>
      <c r="C10" s="41" t="inlineStr">
        <is>
          <t>last_day_number</t>
        </is>
      </c>
      <c r="D10" s="35" t="inlineStr">
        <is>
          <t>Last day reached before dropout/inactivity</t>
        </is>
      </c>
      <c r="E10" s="81" t="inlineStr">
        <is>
          <t>☑ Registered 2026-04-07</t>
        </is>
      </c>
    </row>
    <row r="11">
      <c r="A11" s="33" t="inlineStr">
        <is>
          <t>Days inactive</t>
        </is>
      </c>
      <c r="B11" s="33" t="inlineStr">
        <is>
          <t>Event</t>
        </is>
      </c>
      <c r="C11" s="41" t="inlineStr">
        <is>
          <t>days_inactive</t>
        </is>
      </c>
      <c r="D11" s="35" t="inlineStr">
        <is>
          <t>Days since last activity</t>
        </is>
      </c>
      <c r="E11" s="81" t="inlineStr">
        <is>
          <t>☑ Registered 2026-04-07</t>
        </is>
      </c>
    </row>
    <row r="12">
      <c r="A12" s="33" t="inlineStr">
        <is>
          <t>Upsell context</t>
        </is>
      </c>
      <c r="B12" s="33" t="inlineStr">
        <is>
          <t>Event</t>
        </is>
      </c>
      <c r="C12" s="41" t="inlineStr">
        <is>
          <t>context</t>
        </is>
      </c>
      <c r="D12" s="35" t="inlineStr">
        <is>
          <t>dashboard | post_enneagram | weekly_review</t>
        </is>
      </c>
      <c r="E12" s="81" t="inlineStr">
        <is>
          <t>☑ Registered 2026-04-07</t>
        </is>
      </c>
    </row>
    <row r="13">
      <c r="A13" s="33" t="inlineStr">
        <is>
          <t>Section</t>
        </is>
      </c>
      <c r="B13" s="33" t="inlineStr">
        <is>
          <t>Event</t>
        </is>
      </c>
      <c r="C13" s="41" t="inlineStr">
        <is>
          <t>section</t>
        </is>
      </c>
      <c r="D13" s="35" t="inlineStr">
        <is>
          <t>Marketing page section that entered viewport</t>
        </is>
      </c>
      <c r="E13" s="81" t="inlineStr">
        <is>
          <t>☑ Registered 2026-04-07</t>
        </is>
      </c>
    </row>
    <row r="14">
      <c r="A14" s="33" t="inlineStr">
        <is>
          <t>FAQ question index</t>
        </is>
      </c>
      <c r="B14" s="33" t="inlineStr">
        <is>
          <t>Event</t>
        </is>
      </c>
      <c r="C14" s="41" t="inlineStr">
        <is>
          <t>question_index</t>
        </is>
      </c>
      <c r="D14" s="35" t="inlineStr">
        <is>
          <t>Index of FAQ item expanded</t>
        </is>
      </c>
      <c r="E14" s="81" t="inlineStr">
        <is>
          <t>☑ Registered 2026-04-07</t>
        </is>
      </c>
    </row>
    <row r="15">
      <c r="A15" s="33" t="inlineStr">
        <is>
          <t>Current program</t>
        </is>
      </c>
      <c r="B15" s="42" t="inlineStr">
        <is>
          <t>User</t>
        </is>
      </c>
      <c r="C15" s="41" t="inlineStr">
        <is>
          <t>current_program</t>
        </is>
      </c>
      <c r="D15" s="35" t="inlineStr">
        <is>
          <t>User's currently active program slug</t>
        </is>
      </c>
      <c r="E15" s="81" t="inlineStr">
        <is>
          <t>☑ Registered 2026-04-07</t>
        </is>
      </c>
    </row>
    <row r="16">
      <c r="A16" s="33" t="inlineStr">
        <is>
          <t>Enrollment status</t>
        </is>
      </c>
      <c r="B16" s="42" t="inlineStr">
        <is>
          <t>User</t>
        </is>
      </c>
      <c r="C16" s="41" t="inlineStr">
        <is>
          <t>enrollment_status</t>
        </is>
      </c>
      <c r="D16" s="35" t="inlineStr">
        <is>
          <t>pre_start | onboarding | active | completed | lapsed | paused | closed_early</t>
        </is>
      </c>
      <c r="E16" s="81" t="inlineStr">
        <is>
          <t>☑ Registered 2026-04-07</t>
        </is>
      </c>
    </row>
    <row r="17">
      <c r="A17" s="33" t="inlineStr">
        <is>
          <t>Has had 3d gap</t>
        </is>
      </c>
      <c r="B17" s="42" t="inlineStr">
        <is>
          <t>User</t>
        </is>
      </c>
      <c r="C17" s="41" t="inlineStr">
        <is>
          <t>has_had_3d_gap</t>
        </is>
      </c>
      <c r="D17" s="35" t="inlineStr">
        <is>
          <t>3+ day inactivity gap on this enrollment</t>
        </is>
      </c>
      <c r="E17" s="81" t="inlineStr">
        <is>
          <t>☑ Registered 2026-04-07</t>
        </is>
      </c>
    </row>
    <row r="18">
      <c r="A18" s="33" t="inlineStr">
        <is>
          <t>Has had 7d gap</t>
        </is>
      </c>
      <c r="B18" s="42" t="inlineStr">
        <is>
          <t>User</t>
        </is>
      </c>
      <c r="C18" s="41" t="inlineStr">
        <is>
          <t>has_had_7d_gap</t>
        </is>
      </c>
      <c r="D18" s="35" t="inlineStr">
        <is>
          <t>7+ day inactivity gap on this enrollment</t>
        </is>
      </c>
      <c r="E18" s="81" t="inlineStr">
        <is>
          <t>☑ Registered 2026-04-07</t>
        </is>
      </c>
    </row>
    <row r="19">
      <c r="A19" s="33" t="inlineStr">
        <is>
          <t>Program cohort</t>
        </is>
      </c>
      <c r="B19" s="42" t="inlineStr">
        <is>
          <t>User</t>
        </is>
      </c>
      <c r="C19" s="41" t="inlineStr">
        <is>
          <t>program_cohort</t>
        </is>
      </c>
      <c r="D19" s="35" t="inlineStr">
        <is>
          <t>ISO week of enrollment start (e.g. 2026-W14)</t>
        </is>
      </c>
      <c r="E19" s="81" t="inlineStr">
        <is>
          <t>☑ Registered 2026-04-07</t>
        </is>
      </c>
    </row>
    <row r="20">
      <c r="A20" s="33" t="inlineStr">
        <is>
          <t>Programs completed count</t>
        </is>
      </c>
      <c r="B20" s="42" t="inlineStr">
        <is>
          <t>User</t>
        </is>
      </c>
      <c r="C20" s="41" t="inlineStr">
        <is>
          <t>programs_completed_count</t>
        </is>
      </c>
      <c r="D20" s="35" t="inlineStr">
        <is>
          <t>Lifetime count of completed programs</t>
        </is>
      </c>
      <c r="E20" s="81" t="inlineStr">
        <is>
          <t>☑ Registered 2026-04-07</t>
        </is>
      </c>
    </row>
    <row r="22">
      <c r="A22" s="46" t="inlineStr"/>
    </row>
    <row r="23">
      <c r="A23" s="39" t="inlineStr">
        <is>
          <t>CUSTOM METRICS (Admin → Custom definitions → Custom metrics → Create)</t>
        </is>
      </c>
    </row>
    <row r="24">
      <c r="A24" s="40" t="inlineStr">
        <is>
          <t>Friendly name</t>
        </is>
      </c>
      <c r="B24" s="40" t="inlineStr">
        <is>
          <t>Scope</t>
        </is>
      </c>
      <c r="C24" s="40" t="inlineStr">
        <is>
          <t>Parameter</t>
        </is>
      </c>
      <c r="D24" s="40" t="inlineStr">
        <is>
          <t>Unit</t>
        </is>
      </c>
      <c r="E24" s="82" t="inlineStr">
        <is>
          <t>☑ Registered 2026-04-07</t>
        </is>
      </c>
    </row>
    <row r="25">
      <c r="A25" s="33" t="inlineStr">
        <is>
          <t>Days since purchase</t>
        </is>
      </c>
      <c r="B25" s="33" t="inlineStr">
        <is>
          <t>Event</t>
        </is>
      </c>
      <c r="C25" s="41" t="inlineStr">
        <is>
          <t>days_since_purchase</t>
        </is>
      </c>
      <c r="D25" s="35" t="inlineStr">
        <is>
          <t>Standard</t>
        </is>
      </c>
      <c r="E25" s="81" t="inlineStr">
        <is>
          <t>☑ Registered 2026-04-07</t>
        </is>
      </c>
    </row>
    <row r="26">
      <c r="A26" s="33" t="inlineStr">
        <is>
          <t>Days since last activity</t>
        </is>
      </c>
      <c r="B26" s="33" t="inlineStr">
        <is>
          <t>Event</t>
        </is>
      </c>
      <c r="C26" s="41" t="inlineStr">
        <is>
          <t>days_since_last_activity</t>
        </is>
      </c>
      <c r="D26" s="35" t="inlineStr">
        <is>
          <t>Standard</t>
        </is>
      </c>
      <c r="E26" s="81" t="inlineStr">
        <is>
          <t>☑ Registered 2026-04-07</t>
        </is>
      </c>
    </row>
    <row r="27">
      <c r="A27" s="33" t="inlineStr">
        <is>
          <t>Highest day reached</t>
        </is>
      </c>
      <c r="B27" s="33" t="inlineStr">
        <is>
          <t>Event</t>
        </is>
      </c>
      <c r="C27" s="41" t="inlineStr">
        <is>
          <t>highest_day_reached</t>
        </is>
      </c>
      <c r="D27" s="35" t="inlineStr">
        <is>
          <t>Standard</t>
        </is>
      </c>
      <c r="E27" s="81" t="inlineStr">
        <is>
          <t>☑ Registered 2026-04-07</t>
        </is>
      </c>
    </row>
    <row r="28">
      <c r="A28" s="33" t="inlineStr">
        <is>
          <t>Exercise time spent</t>
        </is>
      </c>
      <c r="B28" s="33" t="inlineStr">
        <is>
          <t>Event</t>
        </is>
      </c>
      <c r="C28" s="41" t="inlineStr">
        <is>
          <t>time_spent_sec</t>
        </is>
      </c>
      <c r="D28" s="35" t="inlineStr">
        <is>
          <t>Seconds</t>
        </is>
      </c>
      <c r="E28" s="81" t="inlineStr">
        <is>
          <t>☑ Registered 2026-04-07</t>
        </is>
      </c>
    </row>
    <row r="29">
      <c r="A29" s="33" t="inlineStr">
        <is>
          <t>Journal word count</t>
        </is>
      </c>
      <c r="B29" s="33" t="inlineStr">
        <is>
          <t>Event</t>
        </is>
      </c>
      <c r="C29" s="41" t="inlineStr">
        <is>
          <t>word_count</t>
        </is>
      </c>
      <c r="D29" s="35" t="inlineStr">
        <is>
          <t>Standard</t>
        </is>
      </c>
      <c r="E29" s="81" t="inlineStr">
        <is>
          <t>☑ Registered 2026-04-07</t>
        </is>
      </c>
    </row>
    <row r="30">
      <c r="A30" s="33" t="inlineStr">
        <is>
          <t>Days to complete</t>
        </is>
      </c>
      <c r="B30" s="33" t="inlineStr">
        <is>
          <t>Event</t>
        </is>
      </c>
      <c r="C30" s="41" t="inlineStr">
        <is>
          <t>days_to_complete</t>
        </is>
      </c>
      <c r="D30" s="35" t="inlineStr">
        <is>
          <t>Standard</t>
        </is>
      </c>
      <c r="E30" s="81" t="inlineStr">
        <is>
          <t>☑ Registered 2026-04-07</t>
        </is>
      </c>
    </row>
    <row r="31">
      <c r="A31" s="33" t="inlineStr">
        <is>
          <t>Max inactivity days</t>
        </is>
      </c>
      <c r="B31" s="33" t="inlineStr">
        <is>
          <t>Event</t>
        </is>
      </c>
      <c r="C31" s="41" t="inlineStr">
        <is>
          <t>max_inactivity_days</t>
        </is>
      </c>
      <c r="D31" s="35" t="inlineStr">
        <is>
          <t>Standard</t>
        </is>
      </c>
      <c r="E31" s="35" t="inlineStr">
        <is>
          <t>☐ Done?</t>
        </is>
      </c>
    </row>
    <row r="34">
      <c r="A34" s="39" t="inlineStr">
        <is>
          <t>KEY EVENTS (Admin → Events → toggle "Mark as key event" — wait until event appears in list)</t>
        </is>
      </c>
    </row>
    <row r="35">
      <c r="A35" s="40" t="inlineStr">
        <is>
          <t>Event name</t>
        </is>
      </c>
      <c r="B35" s="40" t="inlineStr">
        <is>
          <t>Why</t>
        </is>
      </c>
      <c r="E35" s="40" t="inlineStr">
        <is>
          <t>Status</t>
        </is>
      </c>
    </row>
    <row r="36">
      <c r="A36" s="41" t="inlineStr">
        <is>
          <t>day_1_completed</t>
        </is>
      </c>
      <c r="B36" s="35" t="inlineStr">
        <is>
          <t>Activation milestone — proof a paying user actually started the work</t>
        </is>
      </c>
      <c r="E36" s="35" t="inlineStr">
        <is>
          <t>☐ Marked?</t>
        </is>
      </c>
    </row>
    <row r="37">
      <c r="A37" s="41" t="inlineStr">
        <is>
          <t>program_completed</t>
        </is>
      </c>
      <c r="B37" s="35" t="inlineStr">
        <is>
          <t>Ultimate product success metric. Fired server-side from program-offramp.ts.</t>
        </is>
      </c>
      <c r="E37" s="35" t="inlineStr">
        <is>
          <t>☐ Marked?</t>
        </is>
      </c>
    </row>
    <row r="38">
      <c r="A38" s="41" t="inlineStr">
        <is>
          <t>weekly_review_completed</t>
        </is>
      </c>
      <c r="B38" s="35" t="inlineStr">
        <is>
          <t>Deep-engagement signal — proof user is reflecting on the work</t>
        </is>
      </c>
      <c r="E38" s="35" t="inlineStr">
        <is>
          <t>☐ Marked?</t>
        </is>
      </c>
    </row>
    <row r="39">
      <c r="A39" s="41" t="inlineStr">
        <is>
          <t>enneagram_purchase</t>
        </is>
      </c>
      <c r="B39" s="35" t="inlineStr">
        <is>
          <t>Direct upsell purchase</t>
        </is>
      </c>
      <c r="E39" s="35" t="inlineStr">
        <is>
          <t>☐ Marked?</t>
        </is>
      </c>
    </row>
    <row r="40">
      <c r="A40" s="41" t="inlineStr">
        <is>
          <t>layoff_standard_purchase</t>
        </is>
      </c>
      <c r="B40" s="35" t="inlineStr">
        <is>
          <t>Parachute standard tier conversion</t>
        </is>
      </c>
      <c r="E40" s="35" t="inlineStr">
        <is>
          <t>☐ Marked?</t>
        </is>
      </c>
    </row>
    <row r="41">
      <c r="A41" s="41" t="inlineStr">
        <is>
          <t>layoff_pay_what_you_can_purchase</t>
        </is>
      </c>
      <c r="B41" s="35" t="inlineStr">
        <is>
          <t>Parachute PWYC tier conversion</t>
        </is>
      </c>
      <c r="E41" s="35" t="inlineStr">
        <is>
          <t>☐ Marked?</t>
        </is>
      </c>
    </row>
    <row r="42">
      <c r="A42" s="41" t="inlineStr">
        <is>
          <t>layoff_pay_it_forward_purchase</t>
        </is>
      </c>
      <c r="B42" s="35" t="inlineStr">
        <is>
          <t>Parachute PIF tier conversion</t>
        </is>
      </c>
      <c r="E42" s="35" t="inlineStr">
        <is>
          <t>☐ Marked?</t>
        </is>
      </c>
    </row>
    <row r="43">
      <c r="A43" s="41" t="inlineStr">
        <is>
          <t>pip_purchase</t>
        </is>
      </c>
      <c r="B43" s="35" t="inlineStr">
        <is>
          <t>Jetstream conversion</t>
        </is>
      </c>
      <c r="E43" s="35" t="inlineStr">
        <is>
          <t>☐ Marked?</t>
        </is>
      </c>
    </row>
    <row r="44">
      <c r="A44" s="41" t="inlineStr">
        <is>
          <t>new_role_purchase</t>
        </is>
      </c>
      <c r="B44" s="35" t="inlineStr">
        <is>
          <t>Basecamp conversion</t>
        </is>
      </c>
      <c r="E44" s="35" t="inlineStr">
        <is>
          <t>☐ Marked?</t>
        </is>
      </c>
    </row>
    <row r="45">
      <c r="A45" s="41" t="inlineStr">
        <is>
          <t>coaching_application_submit</t>
        </is>
      </c>
      <c r="B45" s="35" t="inlineStr">
        <is>
          <t>Coaching upsell application submitted</t>
        </is>
      </c>
      <c r="E45" s="35" t="inlineStr">
        <is>
          <t>☐ Marked?</t>
        </is>
      </c>
    </row>
    <row r="46">
      <c r="A46" s="41" t="inlineStr">
        <is>
          <t>second_program_started</t>
        </is>
      </c>
      <c r="B46" s="35" t="inlineStr">
        <is>
          <t>LTV signal — repeat customer detected by Stripe webhook</t>
        </is>
      </c>
      <c r="E46" s="35" t="inlineStr">
        <is>
          <t>☐ Marked?</t>
        </is>
      </c>
    </row>
  </sheetData>
  <mergeCells count="16">
    <mergeCell ref="B42:D42"/>
    <mergeCell ref="A34:E34"/>
    <mergeCell ref="B36:D36"/>
    <mergeCell ref="B37:D37"/>
    <mergeCell ref="B45:D45"/>
    <mergeCell ref="B46:D46"/>
    <mergeCell ref="B41:D41"/>
    <mergeCell ref="B35:D35"/>
    <mergeCell ref="B40:D40"/>
    <mergeCell ref="A1:E1"/>
    <mergeCell ref="A23:E23"/>
    <mergeCell ref="B44:D44"/>
    <mergeCell ref="B43:D43"/>
    <mergeCell ref="B39:D39"/>
    <mergeCell ref="B38:D3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30" min="1" max="1"/>
    <col width="42" customWidth="1" style="30" min="2" max="2"/>
    <col width="50" customWidth="1" style="30" min="3" max="3"/>
    <col width="50" customWidth="1" style="30" min="4" max="4"/>
  </cols>
  <sheetData>
    <row r="1" ht="28" customHeight="1" s="30">
      <c r="A1" s="31" t="inlineStr">
        <is>
          <t>MINDCRAFT — Full event catalog (50+ events instrumented)</t>
        </is>
      </c>
    </row>
    <row r="2">
      <c r="A2" s="43" t="inlineStr">
        <is>
          <t>Source of truth: Mindcraft/docs/analytics-events.md. Events grouped by category.</t>
        </is>
      </c>
    </row>
    <row r="4">
      <c r="A4" s="40" t="inlineStr">
        <is>
          <t>Category</t>
        </is>
      </c>
      <c r="B4" s="40" t="inlineStr">
        <is>
          <t>Event name</t>
        </is>
      </c>
      <c r="C4" s="40" t="inlineStr">
        <is>
          <t>Trigger</t>
        </is>
      </c>
      <c r="D4" s="40" t="inlineStr">
        <is>
          <t>Key params</t>
        </is>
      </c>
    </row>
    <row r="5">
      <c r="A5" s="37" t="inlineStr">
        <is>
          <t>Homepage</t>
        </is>
      </c>
      <c r="B5" s="44" t="inlineStr">
        <is>
          <t>homescreen_view</t>
        </is>
      </c>
      <c r="C5" s="35" t="inlineStr">
        <is>
          <t>Homepage load</t>
        </is>
      </c>
      <c r="D5" s="45" t="inlineStr">
        <is>
          <t>—</t>
        </is>
      </c>
    </row>
    <row r="6">
      <c r="A6" s="33" t="inlineStr"/>
      <c r="B6" s="44" t="inlineStr">
        <is>
          <t>homescreen_scroll_depth</t>
        </is>
      </c>
      <c r="C6" s="35" t="inlineStr">
        <is>
          <t>25/50/75/100% scroll</t>
        </is>
      </c>
      <c r="D6" s="45" t="inlineStr">
        <is>
          <t>depth</t>
        </is>
      </c>
    </row>
    <row r="7">
      <c r="A7" s="33" t="inlineStr"/>
      <c r="B7" s="44" t="inlineStr">
        <is>
          <t>homescreen_program_card_view</t>
        </is>
      </c>
      <c r="C7" s="35" t="inlineStr">
        <is>
          <t>Program card enters viewport</t>
        </is>
      </c>
      <c r="D7" s="45" t="inlineStr">
        <is>
          <t>program</t>
        </is>
      </c>
    </row>
    <row r="8">
      <c r="A8" s="33" t="inlineStr"/>
      <c r="B8" s="44" t="inlineStr">
        <is>
          <t>homescreen_program_click</t>
        </is>
      </c>
      <c r="C8" s="35" t="inlineStr">
        <is>
          <t>Click program card</t>
        </is>
      </c>
      <c r="D8" s="45" t="inlineStr">
        <is>
          <t>program</t>
        </is>
      </c>
    </row>
    <row r="9">
      <c r="A9" s="33" t="inlineStr"/>
      <c r="B9" s="44" t="inlineStr">
        <is>
          <t>program_compare</t>
        </is>
      </c>
      <c r="C9" s="35" t="inlineStr">
        <is>
          <t>2+ program cards clicked in same session</t>
        </is>
      </c>
      <c r="D9" s="45" t="inlineStr">
        <is>
          <t>programs, count</t>
        </is>
      </c>
    </row>
    <row r="10">
      <c r="A10" s="37" t="inlineStr">
        <is>
          <t>Marketing — Parachute</t>
        </is>
      </c>
      <c r="B10" s="44" t="inlineStr">
        <is>
          <t>layoff_page_view</t>
        </is>
      </c>
      <c r="C10" s="35" t="inlineStr">
        <is>
          <t>Parachute page load</t>
        </is>
      </c>
      <c r="D10" s="45" t="inlineStr">
        <is>
          <t>—</t>
        </is>
      </c>
    </row>
    <row r="11">
      <c r="A11" s="33" t="inlineStr"/>
      <c r="B11" s="44" t="inlineStr">
        <is>
          <t>layoff_hero_cta_click</t>
        </is>
      </c>
      <c r="C11" s="35" t="inlineStr">
        <is>
          <t>Parachute hero CTA</t>
        </is>
      </c>
      <c r="D11" s="45" t="inlineStr">
        <is>
          <t>—</t>
        </is>
      </c>
    </row>
    <row r="12">
      <c r="A12" s="33" t="inlineStr"/>
      <c r="B12" s="44" t="inlineStr">
        <is>
          <t>layoff_scroll_depth</t>
        </is>
      </c>
      <c r="C12" s="35" t="inlineStr">
        <is>
          <t>25/50/75/100% scroll</t>
        </is>
      </c>
      <c r="D12" s="45" t="inlineStr">
        <is>
          <t>depth, program</t>
        </is>
      </c>
    </row>
    <row r="13">
      <c r="A13" s="33" t="inlineStr"/>
      <c r="B13" s="44" t="inlineStr">
        <is>
          <t>layoff_section_view</t>
        </is>
      </c>
      <c r="C13" s="35" t="inlineStr">
        <is>
          <t>Section enters viewport</t>
        </is>
      </c>
      <c r="D13" s="45" t="inlineStr">
        <is>
          <t>section, program</t>
        </is>
      </c>
    </row>
    <row r="14">
      <c r="A14" s="33" t="inlineStr"/>
      <c r="B14" s="44" t="inlineStr">
        <is>
          <t>layoff_pricing_reached</t>
        </is>
      </c>
      <c r="C14" s="35" t="inlineStr">
        <is>
          <t>Pricing section enters viewport</t>
        </is>
      </c>
      <c r="D14" s="45" t="inlineStr">
        <is>
          <t>program</t>
        </is>
      </c>
    </row>
    <row r="15">
      <c r="A15" s="33" t="inlineStr"/>
      <c r="B15" s="44" t="inlineStr">
        <is>
          <t>layoff_faq_expand</t>
        </is>
      </c>
      <c r="C15" s="35" t="inlineStr">
        <is>
          <t>Click FAQ item</t>
        </is>
      </c>
      <c r="D15" s="45" t="inlineStr">
        <is>
          <t>topic, question_index, question</t>
        </is>
      </c>
    </row>
    <row r="16">
      <c r="A16" s="33" t="inlineStr"/>
      <c r="B16" s="44" t="inlineStr">
        <is>
          <t>layoff_pay_what_you_can_price_click</t>
        </is>
      </c>
      <c r="C16" s="35" t="inlineStr">
        <is>
          <t>Click PWYC tier pill</t>
        </is>
      </c>
      <c r="D16" s="45" t="inlineStr">
        <is>
          <t>tier, price</t>
        </is>
      </c>
    </row>
    <row r="17">
      <c r="A17" s="33" t="inlineStr"/>
      <c r="B17" s="44" t="inlineStr">
        <is>
          <t>layoff_standard_price_click</t>
        </is>
      </c>
      <c r="C17" s="35" t="inlineStr">
        <is>
          <t>Click Standard tier pill</t>
        </is>
      </c>
      <c r="D17" s="45" t="inlineStr">
        <is>
          <t>tier, price</t>
        </is>
      </c>
    </row>
    <row r="18">
      <c r="A18" s="33" t="inlineStr"/>
      <c r="B18" s="44" t="inlineStr">
        <is>
          <t>layoff_pay_it_forward_price_click</t>
        </is>
      </c>
      <c r="C18" s="35" t="inlineStr">
        <is>
          <t>Click PIF tier pill</t>
        </is>
      </c>
      <c r="D18" s="45" t="inlineStr">
        <is>
          <t>tier, price</t>
        </is>
      </c>
    </row>
    <row r="19">
      <c r="A19" s="33" t="inlineStr"/>
      <c r="B19" s="44" t="inlineStr">
        <is>
          <t>layoff_pay_what_you_can_slider_amount</t>
        </is>
      </c>
      <c r="C19" s="35" t="inlineStr">
        <is>
          <t>Slider release</t>
        </is>
      </c>
      <c r="D19" s="45" t="inlineStr">
        <is>
          <t>amount</t>
        </is>
      </c>
    </row>
    <row r="20">
      <c r="A20" s="33" t="inlineStr"/>
      <c r="B20" s="44" t="inlineStr">
        <is>
          <t>layoff_pay_it_forward_slider_amount</t>
        </is>
      </c>
      <c r="C20" s="35" t="inlineStr">
        <is>
          <t>Slider release</t>
        </is>
      </c>
      <c r="D20" s="45" t="inlineStr">
        <is>
          <t>amount</t>
        </is>
      </c>
    </row>
    <row r="21">
      <c r="A21" s="33" t="inlineStr"/>
      <c r="B21" s="44" t="inlineStr">
        <is>
          <t>parachute_pay_what_you_can_begin_checkout</t>
        </is>
      </c>
      <c r="C21" s="35" t="inlineStr">
        <is>
          <t>Click checkout (PWYC)</t>
        </is>
      </c>
      <c r="D21" s="45" t="inlineStr">
        <is>
          <t>tier, price</t>
        </is>
      </c>
    </row>
    <row r="22">
      <c r="A22" s="33" t="inlineStr"/>
      <c r="B22" s="44" t="inlineStr">
        <is>
          <t>parachute_standard_begin_checkout</t>
        </is>
      </c>
      <c r="C22" s="35" t="inlineStr">
        <is>
          <t>Click checkout (Standard)</t>
        </is>
      </c>
      <c r="D22" s="45" t="inlineStr">
        <is>
          <t>tier, price</t>
        </is>
      </c>
    </row>
    <row r="23">
      <c r="A23" s="33" t="inlineStr"/>
      <c r="B23" s="44" t="inlineStr">
        <is>
          <t>parachute_pay_it_forward_begin_checkout</t>
        </is>
      </c>
      <c r="C23" s="35" t="inlineStr">
        <is>
          <t>Click checkout (PIF)</t>
        </is>
      </c>
      <c r="D23" s="45" t="inlineStr">
        <is>
          <t>tier, price</t>
        </is>
      </c>
    </row>
    <row r="24">
      <c r="A24" s="33" t="inlineStr"/>
      <c r="B24" s="44" t="inlineStr">
        <is>
          <t>layoff_checkout_error</t>
        </is>
      </c>
      <c r="C24" s="35" t="inlineStr">
        <is>
          <t>Stripe session creation fails</t>
        </is>
      </c>
      <c r="D24" s="45" t="inlineStr">
        <is>
          <t>tier, error_message</t>
        </is>
      </c>
    </row>
    <row r="25">
      <c r="A25" s="33" t="inlineStr"/>
      <c r="B25" s="44" t="inlineStr">
        <is>
          <t>layoff_checkout_abandoned</t>
        </is>
      </c>
      <c r="C25" s="35" t="inlineStr">
        <is>
          <t>Stripe checkout.session.expired (server)</t>
        </is>
      </c>
      <c r="D25" s="45" t="inlineStr">
        <is>
          <t>program, tier, amount</t>
        </is>
      </c>
    </row>
    <row r="26">
      <c r="A26" s="33" t="inlineStr"/>
      <c r="B26" s="44" t="inlineStr">
        <is>
          <t>layoff_*_purchase</t>
        </is>
      </c>
      <c r="C26" s="35" t="inlineStr">
        <is>
          <t>Welcome page verified Stripe payment</t>
        </is>
      </c>
      <c r="D26" s="45" t="inlineStr">
        <is>
          <t>tier, amount</t>
        </is>
      </c>
    </row>
    <row r="27">
      <c r="A27" s="37" t="inlineStr">
        <is>
          <t>Marketing — Jetstream</t>
        </is>
      </c>
      <c r="B27" s="44" t="inlineStr">
        <is>
          <t>pip_page_view</t>
        </is>
      </c>
      <c r="C27" s="35" t="inlineStr">
        <is>
          <t>Jetstream page load</t>
        </is>
      </c>
      <c r="D27" s="45" t="inlineStr">
        <is>
          <t>—</t>
        </is>
      </c>
    </row>
    <row r="28">
      <c r="A28" s="33" t="inlineStr"/>
      <c r="B28" s="44" t="inlineStr">
        <is>
          <t>pip_hero_cta_click</t>
        </is>
      </c>
      <c r="C28" s="35" t="inlineStr">
        <is>
          <t>Jetstream hero CTA</t>
        </is>
      </c>
      <c r="D28" s="45" t="inlineStr">
        <is>
          <t>—</t>
        </is>
      </c>
    </row>
    <row r="29">
      <c r="A29" s="33" t="inlineStr"/>
      <c r="B29" s="44" t="inlineStr">
        <is>
          <t>pip_scroll_depth</t>
        </is>
      </c>
      <c r="C29" s="35" t="inlineStr">
        <is>
          <t>Scroll</t>
        </is>
      </c>
      <c r="D29" s="45" t="inlineStr">
        <is>
          <t>depth, program</t>
        </is>
      </c>
    </row>
    <row r="30">
      <c r="A30" s="33" t="inlineStr"/>
      <c r="B30" s="44" t="inlineStr">
        <is>
          <t>pip_section_view</t>
        </is>
      </c>
      <c r="C30" s="35" t="inlineStr">
        <is>
          <t>Section enters viewport</t>
        </is>
      </c>
      <c r="D30" s="45" t="inlineStr">
        <is>
          <t>section, program</t>
        </is>
      </c>
    </row>
    <row r="31">
      <c r="A31" s="33" t="inlineStr"/>
      <c r="B31" s="44" t="inlineStr">
        <is>
          <t>pip_pricing_reached</t>
        </is>
      </c>
      <c r="C31" s="35" t="inlineStr">
        <is>
          <t>Pricing in viewport</t>
        </is>
      </c>
      <c r="D31" s="45" t="inlineStr">
        <is>
          <t>program</t>
        </is>
      </c>
    </row>
    <row r="32">
      <c r="A32" s="33" t="inlineStr"/>
      <c r="B32" s="44" t="inlineStr">
        <is>
          <t>pip_faq_expand</t>
        </is>
      </c>
      <c r="C32" s="35" t="inlineStr">
        <is>
          <t>FAQ click</t>
        </is>
      </c>
      <c r="D32" s="45" t="inlineStr">
        <is>
          <t>topic, question_index, question</t>
        </is>
      </c>
    </row>
    <row r="33">
      <c r="A33" s="33" t="inlineStr"/>
      <c r="B33" s="44" t="inlineStr">
        <is>
          <t>pip_price_click</t>
        </is>
      </c>
      <c r="C33" s="35" t="inlineStr">
        <is>
          <t>Click pricing tier</t>
        </is>
      </c>
      <c r="D33" s="45" t="inlineStr">
        <is>
          <t>tier</t>
        </is>
      </c>
    </row>
    <row r="34">
      <c r="A34" s="33" t="inlineStr"/>
      <c r="B34" s="44" t="inlineStr">
        <is>
          <t>pip_begin_checkout</t>
        </is>
      </c>
      <c r="C34" s="35" t="inlineStr">
        <is>
          <t>Click checkout</t>
        </is>
      </c>
      <c r="D34" s="45" t="inlineStr">
        <is>
          <t>tier</t>
        </is>
      </c>
    </row>
    <row r="35">
      <c r="A35" s="33" t="inlineStr"/>
      <c r="B35" s="44" t="inlineStr">
        <is>
          <t>pip_checkout_error</t>
        </is>
      </c>
      <c r="C35" s="35" t="inlineStr">
        <is>
          <t>Stripe session creation fails</t>
        </is>
      </c>
      <c r="D35" s="45" t="inlineStr">
        <is>
          <t>tier, error_message</t>
        </is>
      </c>
    </row>
    <row r="36">
      <c r="A36" s="33" t="inlineStr"/>
      <c r="B36" s="44" t="inlineStr">
        <is>
          <t>pip_purchase</t>
        </is>
      </c>
      <c r="C36" s="35" t="inlineStr">
        <is>
          <t>Welcome page verified</t>
        </is>
      </c>
      <c r="D36" s="45" t="inlineStr">
        <is>
          <t>tier, amount</t>
        </is>
      </c>
    </row>
    <row r="37">
      <c r="A37" s="37" t="inlineStr">
        <is>
          <t>Marketing — Basecamp</t>
        </is>
      </c>
      <c r="B37" s="44" t="inlineStr">
        <is>
          <t>new_role_page_view</t>
        </is>
      </c>
      <c r="C37" s="35" t="inlineStr">
        <is>
          <t>Basecamp page load</t>
        </is>
      </c>
      <c r="D37" s="45" t="inlineStr">
        <is>
          <t>—</t>
        </is>
      </c>
    </row>
    <row r="38">
      <c r="A38" s="33" t="inlineStr"/>
      <c r="B38" s="44" t="inlineStr">
        <is>
          <t>new_role_hero_cta_click</t>
        </is>
      </c>
      <c r="C38" s="35" t="inlineStr">
        <is>
          <t>Basecamp hero CTA</t>
        </is>
      </c>
      <c r="D38" s="45" t="inlineStr">
        <is>
          <t>—</t>
        </is>
      </c>
    </row>
    <row r="39">
      <c r="A39" s="33" t="inlineStr"/>
      <c r="B39" s="44" t="inlineStr">
        <is>
          <t>new_role_scroll_depth</t>
        </is>
      </c>
      <c r="C39" s="35" t="inlineStr">
        <is>
          <t>Scroll</t>
        </is>
      </c>
      <c r="D39" s="45" t="inlineStr">
        <is>
          <t>depth, program</t>
        </is>
      </c>
    </row>
    <row r="40">
      <c r="A40" s="33" t="inlineStr"/>
      <c r="B40" s="44" t="inlineStr">
        <is>
          <t>new_role_section_view</t>
        </is>
      </c>
      <c r="C40" s="35" t="inlineStr">
        <is>
          <t>Section enters viewport</t>
        </is>
      </c>
      <c r="D40" s="45" t="inlineStr">
        <is>
          <t>section, program</t>
        </is>
      </c>
    </row>
    <row r="41">
      <c r="A41" s="33" t="inlineStr"/>
      <c r="B41" s="44" t="inlineStr">
        <is>
          <t>new_role_pricing_reached</t>
        </is>
      </c>
      <c r="C41" s="35" t="inlineStr">
        <is>
          <t>Pricing in viewport</t>
        </is>
      </c>
      <c r="D41" s="45" t="inlineStr">
        <is>
          <t>program</t>
        </is>
      </c>
    </row>
    <row r="42">
      <c r="A42" s="33" t="inlineStr"/>
      <c r="B42" s="44" t="inlineStr">
        <is>
          <t>new_role_faq_expand</t>
        </is>
      </c>
      <c r="C42" s="35" t="inlineStr">
        <is>
          <t>FAQ click</t>
        </is>
      </c>
      <c r="D42" s="45" t="inlineStr">
        <is>
          <t>topic, question_index, question</t>
        </is>
      </c>
    </row>
    <row r="43">
      <c r="A43" s="33" t="inlineStr"/>
      <c r="B43" s="44" t="inlineStr">
        <is>
          <t>new_role_price_click</t>
        </is>
      </c>
      <c r="C43" s="35" t="inlineStr">
        <is>
          <t>Click pricing tier</t>
        </is>
      </c>
      <c r="D43" s="45" t="inlineStr">
        <is>
          <t>tier</t>
        </is>
      </c>
    </row>
    <row r="44">
      <c r="A44" s="33" t="inlineStr"/>
      <c r="B44" s="44" t="inlineStr">
        <is>
          <t>new_role_begin_checkout</t>
        </is>
      </c>
      <c r="C44" s="35" t="inlineStr">
        <is>
          <t>Click checkout</t>
        </is>
      </c>
      <c r="D44" s="45" t="inlineStr">
        <is>
          <t>tier</t>
        </is>
      </c>
    </row>
    <row r="45">
      <c r="A45" s="33" t="inlineStr"/>
      <c r="B45" s="44" t="inlineStr">
        <is>
          <t>new_role_checkout_error</t>
        </is>
      </c>
      <c r="C45" s="35" t="inlineStr">
        <is>
          <t>Stripe session creation fails</t>
        </is>
      </c>
      <c r="D45" s="45" t="inlineStr">
        <is>
          <t>tier, error_message</t>
        </is>
      </c>
    </row>
    <row r="46">
      <c r="A46" s="33" t="inlineStr"/>
      <c r="B46" s="44" t="inlineStr">
        <is>
          <t>new_role_purchase</t>
        </is>
      </c>
      <c r="C46" s="35" t="inlineStr">
        <is>
          <t>Welcome page verified</t>
        </is>
      </c>
      <c r="D46" s="45" t="inlineStr">
        <is>
          <t>tier, amount</t>
        </is>
      </c>
    </row>
    <row r="47">
      <c r="A47" s="37" t="inlineStr">
        <is>
          <t>Checkout (all programs)</t>
        </is>
      </c>
      <c r="B47" s="44" t="inlineStr">
        <is>
          <t>begin_checkout</t>
        </is>
      </c>
      <c r="C47" s="35" t="inlineStr">
        <is>
          <t>Reserved GA4 ecommerce — fires alongside program-specific</t>
        </is>
      </c>
      <c r="D47" s="45" t="inlineStr">
        <is>
          <t>package, tier, price</t>
        </is>
      </c>
    </row>
    <row r="48">
      <c r="A48" s="33" t="inlineStr"/>
      <c r="B48" s="44" t="inlineStr">
        <is>
          <t>checkout_cancelled</t>
        </is>
      </c>
      <c r="C48" s="35" t="inlineStr">
        <is>
          <t>Return from Stripe cancel URL</t>
        </is>
      </c>
      <c r="D48" s="45" t="inlineStr">
        <is>
          <t>program</t>
        </is>
      </c>
    </row>
    <row r="49">
      <c r="A49" s="33" t="inlineStr"/>
      <c r="B49" s="44" t="inlineStr">
        <is>
          <t>*_purchase_webhook</t>
        </is>
      </c>
      <c r="C49" s="35" t="inlineStr">
        <is>
          <t>Stripe checkout.session.completed (server backup)</t>
        </is>
      </c>
      <c r="D49" s="45" t="inlineStr">
        <is>
          <t>program, tier, amount, currency, session_id</t>
        </is>
      </c>
    </row>
    <row r="50">
      <c r="A50" s="37" t="inlineStr">
        <is>
          <t>Onboarding</t>
        </is>
      </c>
      <c r="B50" s="44" t="inlineStr">
        <is>
          <t>intake_start</t>
        </is>
      </c>
      <c r="C50" s="35" t="inlineStr">
        <is>
          <t>Intake page mount</t>
        </is>
      </c>
      <c r="D50" s="45" t="inlineStr">
        <is>
          <t>—</t>
        </is>
      </c>
    </row>
    <row r="51">
      <c r="A51" s="33" t="inlineStr"/>
      <c r="B51" s="44" t="inlineStr">
        <is>
          <t>intake_step_complete</t>
        </is>
      </c>
      <c r="C51" s="35" t="inlineStr">
        <is>
          <t>Intake step transition</t>
        </is>
      </c>
      <c r="D51" s="45" t="inlineStr">
        <is>
          <t>from, to</t>
        </is>
      </c>
    </row>
    <row r="52">
      <c r="A52" s="33" t="inlineStr"/>
      <c r="B52" s="44" t="inlineStr">
        <is>
          <t>attribution_source</t>
        </is>
      </c>
      <c r="C52" s="35" t="inlineStr">
        <is>
          <t>Attribution answer submitted</t>
        </is>
      </c>
      <c r="D52" s="45" t="inlineStr">
        <is>
          <t>attribution_type</t>
        </is>
      </c>
    </row>
    <row r="53">
      <c r="A53" s="33" t="inlineStr"/>
      <c r="B53" s="44" t="inlineStr">
        <is>
          <t>intake_complete</t>
        </is>
      </c>
      <c r="C53" s="35" t="inlineStr">
        <is>
          <t>Intake submitted</t>
        </is>
      </c>
      <c r="D53" s="45" t="inlineStr">
        <is>
          <t>program, program_name</t>
        </is>
      </c>
    </row>
    <row r="54">
      <c r="A54" s="33" t="inlineStr"/>
      <c r="B54" s="44" t="inlineStr">
        <is>
          <t>welcome_page_view</t>
        </is>
      </c>
      <c r="C54" s="35" t="inlineStr">
        <is>
          <t>Welcome page mount</t>
        </is>
      </c>
      <c r="D54" s="45" t="inlineStr">
        <is>
          <t>program</t>
        </is>
      </c>
    </row>
    <row r="55">
      <c r="A55" s="33" t="inlineStr"/>
      <c r="B55" s="44" t="inlineStr">
        <is>
          <t>signup_complete_post_purchase</t>
        </is>
      </c>
      <c r="C55" s="35" t="inlineStr">
        <is>
          <t>Account created post-purchase</t>
        </is>
      </c>
      <c r="D55" s="45" t="inlineStr">
        <is>
          <t>program</t>
        </is>
      </c>
    </row>
    <row r="56">
      <c r="A56" s="33" t="inlineStr"/>
      <c r="B56" s="44" t="inlineStr">
        <is>
          <t>dashboard_first_view</t>
        </is>
      </c>
      <c r="C56" s="35" t="inlineStr">
        <is>
          <t>First-ever dashboard load</t>
        </is>
      </c>
      <c r="D56" s="45" t="inlineStr">
        <is>
          <t>—</t>
        </is>
      </c>
    </row>
    <row r="57">
      <c r="A57" s="37" t="inlineStr">
        <is>
          <t>Day flow</t>
        </is>
      </c>
      <c r="B57" s="44" t="inlineStr">
        <is>
          <t>session_start</t>
        </is>
      </c>
      <c r="C57" s="35" t="inlineStr">
        <is>
          <t>Authenticated session begin</t>
        </is>
      </c>
      <c r="D57" s="45" t="inlineStr">
        <is>
          <t>program, days_since_purchase, days_since_last_activity</t>
        </is>
      </c>
    </row>
    <row r="58">
      <c r="A58" s="33" t="inlineStr"/>
      <c r="B58" s="44" t="inlineStr">
        <is>
          <t>day_started</t>
        </is>
      </c>
      <c r="C58" s="35" t="inlineStr">
        <is>
          <t>Day page mount</t>
        </is>
      </c>
      <c r="D58" s="45" t="inlineStr">
        <is>
          <t>program, day_number</t>
        </is>
      </c>
    </row>
    <row r="59">
      <c r="A59" s="33" t="inlineStr"/>
      <c r="B59" s="44" t="inlineStr">
        <is>
          <t>day_1_started</t>
        </is>
      </c>
      <c r="C59" s="35" t="inlineStr">
        <is>
          <t>First-ever Day 1 open</t>
        </is>
      </c>
      <c r="D59" s="45" t="inlineStr">
        <is>
          <t>program</t>
        </is>
      </c>
    </row>
    <row r="60">
      <c r="A60" s="33" t="inlineStr"/>
      <c r="B60" s="44" t="inlineStr">
        <is>
          <t>day_completed</t>
        </is>
      </c>
      <c r="C60" s="35" t="inlineStr">
        <is>
          <t>DoneTab complete button</t>
        </is>
      </c>
      <c r="D60" s="45" t="inlineStr">
        <is>
          <t>program, day_number</t>
        </is>
      </c>
    </row>
    <row r="61">
      <c r="A61" s="33" t="inlineStr"/>
      <c r="B61" s="44" t="inlineStr">
        <is>
          <t>day_1_completed</t>
        </is>
      </c>
      <c r="C61" s="35" t="inlineStr">
        <is>
          <t>Day 1 specifically completed</t>
        </is>
      </c>
      <c r="D61" s="45" t="inlineStr">
        <is>
          <t>program</t>
        </is>
      </c>
    </row>
    <row r="62">
      <c r="A62" s="33" t="inlineStr"/>
      <c r="B62" s="44" t="inlineStr">
        <is>
          <t>day_mid_abandon</t>
        </is>
      </c>
      <c r="C62" s="35" t="inlineStr">
        <is>
          <t>Left day page without completing</t>
        </is>
      </c>
      <c r="D62" s="45" t="inlineStr">
        <is>
          <t>program, day_number</t>
        </is>
      </c>
    </row>
    <row r="63">
      <c r="A63" s="33" t="inlineStr"/>
      <c r="B63" s="44" t="inlineStr">
        <is>
          <t>journal_entry_started</t>
        </is>
      </c>
      <c r="C63" s="35" t="inlineStr">
        <is>
          <t>First keystroke in journal</t>
        </is>
      </c>
      <c r="D63" s="45" t="inlineStr">
        <is>
          <t>day_number</t>
        </is>
      </c>
    </row>
    <row r="64">
      <c r="A64" s="33" t="inlineStr"/>
      <c r="B64" s="44" t="inlineStr">
        <is>
          <t>journal_entry_saved</t>
        </is>
      </c>
      <c r="C64" s="35" t="inlineStr">
        <is>
          <t>Journal saved</t>
        </is>
      </c>
      <c r="D64" s="45" t="inlineStr">
        <is>
          <t>day_number, word_count</t>
        </is>
      </c>
    </row>
    <row r="65">
      <c r="A65" s="33" t="inlineStr"/>
      <c r="B65" s="44" t="inlineStr">
        <is>
          <t>journal_entry_short</t>
        </is>
      </c>
      <c r="C65" s="35" t="inlineStr">
        <is>
          <t>Saved with &lt;30 words (quality signal)</t>
        </is>
      </c>
      <c r="D65" s="45" t="inlineStr">
        <is>
          <t>day_number, word_count</t>
        </is>
      </c>
    </row>
    <row r="66">
      <c r="A66" s="33" t="inlineStr"/>
      <c r="B66" s="44" t="inlineStr">
        <is>
          <t>journal_processed</t>
        </is>
      </c>
      <c r="C66" s="35" t="inlineStr">
        <is>
          <t>/process-journal completed</t>
        </is>
      </c>
      <c r="D66" s="45" t="inlineStr">
        <is>
          <t>day_number</t>
        </is>
      </c>
    </row>
    <row r="67">
      <c r="A67" s="33" t="inlineStr"/>
      <c r="B67" s="44" t="inlineStr">
        <is>
          <t>exercise_started</t>
        </is>
      </c>
      <c r="C67" s="35" t="inlineStr">
        <is>
          <t>Exercise card first shown</t>
        </is>
      </c>
      <c r="D67" s="45" t="inlineStr">
        <is>
          <t>framework_name, exercise_type, day_number, program</t>
        </is>
      </c>
    </row>
    <row r="68">
      <c r="A68" s="33" t="inlineStr"/>
      <c r="B68" s="44" t="inlineStr">
        <is>
          <t>exercise_completed</t>
        </is>
      </c>
      <c r="C68" s="35" t="inlineStr">
        <is>
          <t>Exercise finished</t>
        </is>
      </c>
      <c r="D68" s="45" t="inlineStr">
        <is>
          <t>framework_name, exercise_type, modality, day_number, program, time_spent_sec, has_rating</t>
        </is>
      </c>
    </row>
    <row r="69">
      <c r="A69" s="33" t="inlineStr"/>
      <c r="B69" s="44" t="inlineStr">
        <is>
          <t>exercise_abandoned</t>
        </is>
      </c>
      <c r="C69" s="35" t="inlineStr">
        <is>
          <t>Day unmounted with exercise started but not completed</t>
        </is>
      </c>
      <c r="D69" s="45" t="inlineStr">
        <is>
          <t>framework_name, day_number, program</t>
        </is>
      </c>
    </row>
    <row r="70">
      <c r="A70" s="33" t="inlineStr"/>
      <c r="B70" s="44" t="inlineStr">
        <is>
          <t>exercise_star_rating</t>
        </is>
      </c>
      <c r="C70" s="35" t="inlineStr">
        <is>
          <t>Star rating submitted</t>
        </is>
      </c>
      <c r="D70" s="45" t="inlineStr">
        <is>
          <t>framework_name, rating, day_number, program</t>
        </is>
      </c>
    </row>
    <row r="71">
      <c r="A71" s="33" t="inlineStr"/>
      <c r="B71" s="44" t="inlineStr">
        <is>
          <t>exercise_feedback_submitted</t>
        </is>
      </c>
      <c r="C71" s="35" t="inlineStr">
        <is>
          <t>Text feedback saved</t>
        </is>
      </c>
      <c r="D71" s="45" t="inlineStr">
        <is>
          <t>framework_name, day_number, program</t>
        </is>
      </c>
    </row>
    <row r="72">
      <c r="A72" s="37" t="inlineStr">
        <is>
          <t>Goals / weekly review</t>
        </is>
      </c>
      <c r="B72" s="44" t="inlineStr">
        <is>
          <t>goal_created</t>
        </is>
      </c>
      <c r="C72" s="35" t="inlineStr">
        <is>
          <t>Goals generated by AI</t>
        </is>
      </c>
      <c r="D72" s="45" t="inlineStr">
        <is>
          <t>program, goal_count</t>
        </is>
      </c>
    </row>
    <row r="73">
      <c r="A73" s="33" t="inlineStr"/>
      <c r="B73" s="44" t="inlineStr">
        <is>
          <t>goals_approved</t>
        </is>
      </c>
      <c r="C73" s="35" t="inlineStr">
        <is>
          <t>Goals approve button</t>
        </is>
      </c>
      <c r="D73" s="45" t="inlineStr">
        <is>
          <t>program, goal_count</t>
        </is>
      </c>
    </row>
    <row r="74">
      <c r="A74" s="33" t="inlineStr"/>
      <c r="B74" s="44" t="inlineStr">
        <is>
          <t>weekly_review_started</t>
        </is>
      </c>
      <c r="C74" s="35" t="inlineStr">
        <is>
          <t>Weekly review page mount</t>
        </is>
      </c>
      <c r="D74" s="45" t="inlineStr">
        <is>
          <t>program, week_number</t>
        </is>
      </c>
    </row>
    <row r="75">
      <c r="A75" s="33" t="inlineStr"/>
      <c r="B75" s="44" t="inlineStr">
        <is>
          <t>weekly_review_completed</t>
        </is>
      </c>
      <c r="C75" s="35" t="inlineStr">
        <is>
          <t>Weekly review submitted</t>
        </is>
      </c>
      <c r="D75" s="45" t="inlineStr">
        <is>
          <t>program, week_number</t>
        </is>
      </c>
    </row>
    <row r="76">
      <c r="A76" s="37" t="inlineStr">
        <is>
          <t>Retention</t>
        </is>
      </c>
      <c r="B76" s="44" t="inlineStr">
        <is>
          <t>return_visit_d1</t>
        </is>
      </c>
      <c r="C76" s="35" t="inlineStr">
        <is>
          <t>1+ day gap on session start</t>
        </is>
      </c>
      <c r="D76" s="45" t="inlineStr">
        <is>
          <t>program, days_inactive, last_day_number</t>
        </is>
      </c>
    </row>
    <row r="77">
      <c r="A77" s="33" t="inlineStr"/>
      <c r="B77" s="44" t="inlineStr">
        <is>
          <t>return_visit_d3</t>
        </is>
      </c>
      <c r="C77" s="35" t="inlineStr">
        <is>
          <t>3+ day gap</t>
        </is>
      </c>
      <c r="D77" s="45" t="inlineStr">
        <is>
          <t>same</t>
        </is>
      </c>
    </row>
    <row r="78">
      <c r="A78" s="33" t="inlineStr"/>
      <c r="B78" s="44" t="inlineStr">
        <is>
          <t>return_visit_d7</t>
        </is>
      </c>
      <c r="C78" s="35" t="inlineStr">
        <is>
          <t>7+ day gap</t>
        </is>
      </c>
      <c r="D78" s="45" t="inlineStr">
        <is>
          <t>same</t>
        </is>
      </c>
    </row>
    <row r="79">
      <c r="A79" s="33" t="inlineStr"/>
      <c r="B79" s="44" t="inlineStr">
        <is>
          <t>return_visit_d14</t>
        </is>
      </c>
      <c r="C79" s="35" t="inlineStr">
        <is>
          <t>14+ day gap</t>
        </is>
      </c>
      <c r="D79" s="45" t="inlineStr">
        <is>
          <t>same</t>
        </is>
      </c>
    </row>
    <row r="80">
      <c r="A80" s="33" t="inlineStr"/>
      <c r="B80" s="44" t="inlineStr">
        <is>
          <t>inactivity_3d</t>
        </is>
      </c>
      <c r="C80" s="35" t="inlineStr">
        <is>
          <t>3+ day gap (also flips had_3d_gap on enrollment)</t>
        </is>
      </c>
      <c r="D80" s="45" t="inlineStr">
        <is>
          <t>same</t>
        </is>
      </c>
    </row>
    <row r="81">
      <c r="A81" s="33" t="inlineStr"/>
      <c r="B81" s="44" t="inlineStr">
        <is>
          <t>inactivity_7d</t>
        </is>
      </c>
      <c r="C81" s="35" t="inlineStr">
        <is>
          <t>7+ day gap (also flips had_7d_gap)</t>
        </is>
      </c>
      <c r="D81" s="45" t="inlineStr">
        <is>
          <t>same</t>
        </is>
      </c>
    </row>
    <row r="82">
      <c r="A82" s="33" t="inlineStr"/>
      <c r="B82" s="44" t="inlineStr">
        <is>
          <t>inactivity_14d</t>
        </is>
      </c>
      <c r="C82" s="35" t="inlineStr">
        <is>
          <t>14+ day gap</t>
        </is>
      </c>
      <c r="D82" s="45" t="inlineStr">
        <is>
          <t>same</t>
        </is>
      </c>
    </row>
    <row r="83">
      <c r="A83" s="33" t="inlineStr"/>
      <c r="B83" s="44" t="inlineStr">
        <is>
          <t>dropout_detected</t>
        </is>
      </c>
      <c r="C83" s="35" t="inlineStr">
        <is>
          <t>Nightly cron 04:17 (server, MP) for users 14+ days inactive</t>
        </is>
      </c>
      <c r="D83" s="45" t="inlineStr">
        <is>
          <t>program, last_day_number, days_inactive, enrollment_id</t>
        </is>
      </c>
    </row>
    <row r="84">
      <c r="A84" s="33" t="inlineStr"/>
      <c r="B84" s="44" t="inlineStr">
        <is>
          <t>program_completed</t>
        </is>
      </c>
      <c r="C84" s="35" t="inlineStr">
        <is>
          <t>runOfframp in src/lib/program-offramp.ts (server, MP)</t>
        </is>
      </c>
      <c r="D84" s="45" t="inlineStr">
        <is>
          <t>program, total_days, days_to_complete, had_3d_gap, had_7d_gap, max_inactivity_days</t>
        </is>
      </c>
    </row>
    <row r="85">
      <c r="A85" s="33" t="inlineStr"/>
      <c r="B85" s="44" t="inlineStr">
        <is>
          <t>program_closed_early</t>
        </is>
      </c>
      <c r="C85" s="35" t="inlineStr">
        <is>
          <t>runOfframp closed_early branch (server, MP)</t>
        </is>
      </c>
      <c r="D85" s="45" t="inlineStr">
        <is>
          <t>same</t>
        </is>
      </c>
    </row>
    <row r="86">
      <c r="A86" s="33" t="inlineStr"/>
      <c r="B86" s="44" t="inlineStr">
        <is>
          <t>second_program_started</t>
        </is>
      </c>
      <c r="C86" s="35" t="inlineStr">
        <is>
          <t>Stripe webhook detects prior completed enrollment (server, MP)</t>
        </is>
      </c>
      <c r="D86" s="45" t="inlineStr">
        <is>
          <t>first_program, second_program, days_between</t>
        </is>
      </c>
    </row>
    <row r="87">
      <c r="A87" s="37" t="inlineStr">
        <is>
          <t>Upsell — Enneagram</t>
        </is>
      </c>
      <c r="B87" s="44" t="inlineStr">
        <is>
          <t>enneagram_upsell_view</t>
        </is>
      </c>
      <c r="C87" s="35" t="inlineStr">
        <is>
          <t>EnneagramCard enters viewport</t>
        </is>
      </c>
      <c r="D87" s="45" t="inlineStr">
        <is>
          <t>program</t>
        </is>
      </c>
    </row>
    <row r="88">
      <c r="A88" s="33" t="inlineStr"/>
      <c r="B88" s="44" t="inlineStr">
        <is>
          <t>enneagram_upsell_click</t>
        </is>
      </c>
      <c r="C88" s="35" t="inlineStr">
        <is>
          <t>Click "Add now"</t>
        </is>
      </c>
      <c r="D88" s="45" t="inlineStr">
        <is>
          <t>program</t>
        </is>
      </c>
    </row>
    <row r="89">
      <c r="A89" s="33" t="inlineStr"/>
      <c r="B89" s="44" t="inlineStr">
        <is>
          <t>enneagram_standalone_begin_checkout</t>
        </is>
      </c>
      <c r="C89" s="35" t="inlineStr">
        <is>
          <t>Before Stripe fetch</t>
        </is>
      </c>
      <c r="D89" s="45" t="inlineStr">
        <is>
          <t>—</t>
        </is>
      </c>
    </row>
    <row r="90">
      <c r="A90" s="33" t="inlineStr"/>
      <c r="B90" s="44" t="inlineStr">
        <is>
          <t>enneagram_checkout_error</t>
        </is>
      </c>
      <c r="C90" s="35" t="inlineStr">
        <is>
          <t>Stripe session creation fails</t>
        </is>
      </c>
      <c r="D90" s="45" t="inlineStr">
        <is>
          <t>error_message</t>
        </is>
      </c>
    </row>
    <row r="91">
      <c r="A91" s="33" t="inlineStr"/>
      <c r="B91" s="44" t="inlineStr">
        <is>
          <t>enneagram_purchase</t>
        </is>
      </c>
      <c r="C91" s="35" t="inlineStr">
        <is>
          <t>Welcome page verified</t>
        </is>
      </c>
      <c r="D91" s="45" t="inlineStr">
        <is>
          <t>tier, amount</t>
        </is>
      </c>
    </row>
    <row r="92">
      <c r="A92" s="37" t="inlineStr">
        <is>
          <t>Upsell — Coaching</t>
        </is>
      </c>
      <c r="B92" s="44" t="inlineStr">
        <is>
          <t>coaching_upsell_view</t>
        </is>
      </c>
      <c r="C92" s="35" t="inlineStr">
        <is>
          <t>CoachingCard enters viewport</t>
        </is>
      </c>
      <c r="D92" s="45" t="inlineStr">
        <is>
          <t>program, context</t>
        </is>
      </c>
    </row>
    <row r="93">
      <c r="A93" s="33" t="inlineStr"/>
      <c r="B93" s="44" t="inlineStr">
        <is>
          <t>coaching_upsell_click</t>
        </is>
      </c>
      <c r="C93" s="35" t="inlineStr">
        <is>
          <t>Click "Apply"</t>
        </is>
      </c>
      <c r="D93" s="45" t="inlineStr">
        <is>
          <t>program, context</t>
        </is>
      </c>
    </row>
    <row r="94">
      <c r="A94" s="33" t="inlineStr"/>
      <c r="B94" s="44" t="inlineStr">
        <is>
          <t>upsell_state_shown</t>
        </is>
      </c>
      <c r="C94" s="35" t="inlineStr">
        <is>
          <t>UpsellSection mount</t>
        </is>
      </c>
      <c r="D94" s="45" t="inlineStr">
        <is>
          <t>state, program</t>
        </is>
      </c>
    </row>
    <row r="95">
      <c r="A95" s="33" t="inlineStr"/>
      <c r="B95" s="44" t="inlineStr">
        <is>
          <t>apply_page_view</t>
        </is>
      </c>
      <c r="C95" s="35" t="inlineStr">
        <is>
          <t>/apply mount</t>
        </is>
      </c>
      <c r="D95" s="45" t="inlineStr">
        <is>
          <t>—</t>
        </is>
      </c>
    </row>
    <row r="96">
      <c r="A96" s="33" t="inlineStr"/>
      <c r="B96" s="44" t="inlineStr">
        <is>
          <t>apply_form_start</t>
        </is>
      </c>
      <c r="C96" s="35" t="inlineStr">
        <is>
          <t>First field focus</t>
        </is>
      </c>
      <c r="D96" s="45" t="inlineStr">
        <is>
          <t>—</t>
        </is>
      </c>
    </row>
    <row r="97">
      <c r="A97" s="33" t="inlineStr"/>
      <c r="B97" s="44" t="inlineStr">
        <is>
          <t>apply_screen_complete</t>
        </is>
      </c>
      <c r="C97" s="35" t="inlineStr">
        <is>
          <t>Each screen onNext</t>
        </is>
      </c>
      <c r="D97" s="45" t="inlineStr">
        <is>
          <t>screen_index</t>
        </is>
      </c>
    </row>
    <row r="98">
      <c r="A98" s="33" t="inlineStr"/>
      <c r="B98" s="44" t="inlineStr">
        <is>
          <t>apply_form_abandoned</t>
        </is>
      </c>
      <c r="C98" s="35" t="inlineStr">
        <is>
          <t>beforeunload before submit</t>
        </is>
      </c>
      <c r="D98" s="45" t="inlineStr">
        <is>
          <t>last_screen</t>
        </is>
      </c>
    </row>
    <row r="99">
      <c r="A99" s="33" t="inlineStr"/>
      <c r="B99" s="44" t="inlineStr">
        <is>
          <t>coaching_application_submit</t>
        </is>
      </c>
      <c r="C99" s="35" t="inlineStr">
        <is>
          <t>Apply form submit</t>
        </is>
      </c>
      <c r="D99" s="45" t="inlineStr">
        <is>
          <t>funding, budget, screen_count, time_on_form_sec</t>
        </is>
      </c>
    </row>
    <row r="100">
      <c r="A100" s="37" t="inlineStr">
        <is>
          <t>Quality signals</t>
        </is>
      </c>
      <c r="B100" s="44" t="inlineStr">
        <is>
          <t>ai_generation_failed</t>
        </is>
      </c>
      <c r="C100" s="35" t="inlineStr">
        <is>
          <t>process-journal Claude API error (server, MP)</t>
        </is>
      </c>
      <c r="D100" s="45" t="inlineStr">
        <is>
          <t>endpoint, error_message</t>
        </is>
      </c>
    </row>
    <row r="101">
      <c r="A101" s="33" t="inlineStr"/>
      <c r="B101" s="44" t="inlineStr">
        <is>
          <t>ai_generation_slow</t>
        </is>
      </c>
      <c r="C101" s="35" t="inlineStr">
        <is>
          <t>process-journal &gt;10s (server, MP)</t>
        </is>
      </c>
      <c r="D101" s="45" t="inlineStr">
        <is>
          <t>endpoint, elapsed_sec</t>
        </is>
      </c>
    </row>
    <row r="102">
      <c r="A102" s="33" t="inlineStr"/>
      <c r="B102" s="44" t="inlineStr">
        <is>
          <t>crisis_detected</t>
        </is>
      </c>
      <c r="C102" s="35" t="inlineStr">
        <is>
          <t>process-journal urgency=high (server, MP)</t>
        </is>
      </c>
      <c r="D102" s="45" t="inlineStr">
        <is>
          <t>enrollment_id, day_number</t>
        </is>
      </c>
    </row>
    <row r="103">
      <c r="A103" s="33" t="inlineStr"/>
      <c r="B103" s="44" t="inlineStr">
        <is>
          <t>rate_limit_hit</t>
        </is>
      </c>
      <c r="C103" s="35" t="inlineStr">
        <is>
          <t>checkRateLimit returns 429 (server, MP)</t>
        </is>
      </c>
      <c r="D103" s="45" t="inlineStr">
        <is>
          <t>bucket, retry_after_sec</t>
        </is>
      </c>
    </row>
    <row r="104">
      <c r="A104" s="33" t="inlineStr"/>
      <c r="B104" s="44" t="inlineStr">
        <is>
          <t>auth_login_failed</t>
        </is>
      </c>
      <c r="C104" s="35" t="inlineStr">
        <is>
          <t>Login error</t>
        </is>
      </c>
      <c r="D104" s="45" t="inlineStr">
        <is>
          <t>method, error_message</t>
        </is>
      </c>
    </row>
    <row r="105">
      <c r="A105" s="33" t="inlineStr"/>
      <c r="B105" s="44" t="inlineStr">
        <is>
          <t>login_success</t>
        </is>
      </c>
      <c r="C105" s="35" t="inlineStr">
        <is>
          <t>Login success</t>
        </is>
      </c>
      <c r="D105" s="45" t="inlineStr">
        <is>
          <t>method</t>
        </is>
      </c>
    </row>
    <row r="106">
      <c r="A106" s="33" t="inlineStr"/>
      <c r="B106" s="44" t="inlineStr">
        <is>
          <t>error_boundary_caught</t>
        </is>
      </c>
      <c r="C106" s="35" t="inlineStr">
        <is>
          <t>React error boundary mounts</t>
        </is>
      </c>
      <c r="D106" s="45" t="inlineStr">
        <is>
          <t>page, error_message, digest</t>
        </is>
      </c>
    </row>
    <row r="107">
      <c r="A107" s="33" t="inlineStr"/>
      <c r="B107" s="44" t="inlineStr">
        <is>
          <t>error_retry_attempted</t>
        </is>
      </c>
      <c r="C107" s="35" t="inlineStr">
        <is>
          <t>Error boundary "Try again"</t>
        </is>
      </c>
      <c r="D107" s="45" t="inlineStr">
        <is>
          <t>page</t>
        </is>
      </c>
    </row>
    <row r="108">
      <c r="A108" s="33" t="inlineStr"/>
      <c r="B108" s="44" t="inlineStr">
        <is>
          <t>stripe_webhook_error</t>
        </is>
      </c>
      <c r="C108" s="35" t="inlineStr">
        <is>
          <t>Stripe webhook signature/handler fail (server)</t>
        </is>
      </c>
      <c r="D108" s="45" t="inlineStr">
        <is>
          <t>stage, event_type, error_message</t>
        </is>
      </c>
    </row>
    <row r="109">
      <c r="A109" s="37" t="inlineStr">
        <is>
          <t>Existing</t>
        </is>
      </c>
      <c r="B109" s="44" t="inlineStr">
        <is>
          <t>nps_submitted</t>
        </is>
      </c>
      <c r="C109" s="35" t="inlineStr">
        <is>
          <t>NPSPrompt component</t>
        </is>
      </c>
      <c r="D109" s="45" t="inlineStr">
        <is>
          <t>score, week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style="30" min="1" max="1"/>
    <col width="26" customWidth="1" style="30" min="2" max="2"/>
    <col width="25" customWidth="1" style="30" min="3" max="3"/>
    <col width="50" customWidth="1" style="30" min="4" max="4"/>
    <col width="30" customWidth="1" style="30" min="5" max="5"/>
    <col width="65" customWidth="1" style="30" min="6" max="6"/>
  </cols>
  <sheetData>
    <row r="1" ht="28" customHeight="1" s="30">
      <c r="A1" s="31" t="inlineStr">
        <is>
          <t>MINDCRAFT — Qualitative data sources (added 2026-04-07 wave 2)</t>
        </is>
      </c>
    </row>
    <row r="2">
      <c r="A2" s="55" t="inlineStr">
        <is>
          <t>Wired up 2026-04-07. All Supabase links point to project rmdjglepocaswpplwgik. Vercel links point to team stefaniekamps-2453s-projects. Run /supabase/qualitative-data-tables.sql once before any of the new tables exist.</t>
        </is>
      </c>
    </row>
    <row r="3"/>
    <row r="4">
      <c r="A4" s="39" t="inlineStr">
        <is>
          <t>NEW STRUCTURED TABLES — added 2026-04-07</t>
        </is>
      </c>
    </row>
    <row r="5">
      <c r="A5" s="40" t="inlineStr">
        <is>
          <t>Source</t>
        </is>
      </c>
      <c r="B5" s="40" t="inlineStr">
        <is>
          <t>User-facing page</t>
        </is>
      </c>
      <c r="C5" s="40" t="inlineStr">
        <is>
          <t>Supabase table</t>
        </is>
      </c>
      <c r="D5" s="40" t="inlineStr">
        <is>
          <t>Key columns</t>
        </is>
      </c>
      <c r="E5" s="40" t="inlineStr">
        <is>
          <t>API route</t>
        </is>
      </c>
      <c r="F5" s="40" t="inlineStr">
        <is>
          <t>Supabase URL (replace rmdjglepocaswpplwgik)</t>
        </is>
      </c>
    </row>
    <row r="6" ht="60" customHeight="1" s="30">
      <c r="A6" s="83" t="inlineStr">
        <is>
          <t>Coaching applications</t>
        </is>
      </c>
      <c r="B6" s="44" t="inlineStr">
        <is>
          <t>/apply</t>
        </is>
      </c>
      <c r="C6" s="44" t="inlineStr">
        <is>
          <t>coaching_applications</t>
        </is>
      </c>
      <c r="D6" s="35" t="inlineStr">
        <is>
          <t>first_name, last_name, email, phone, situation, six_month_goal, funding, budget, source, status (new/reviewing/qualified/declined/converted), created_at</t>
        </is>
      </c>
      <c r="E6" s="35" t="inlineStr">
        <is>
          <t>/api/apply (now persists + sends email)</t>
        </is>
      </c>
      <c r="F6" s="84" t="inlineStr">
        <is>
          <t>https://supabase.com/dashboard/project/rmdjglepocaswpplwgik/editor?table=coaching_applications&amp;sort=created_at.desc</t>
        </is>
      </c>
    </row>
    <row r="7" ht="60" customHeight="1" s="30">
      <c r="A7" s="83" t="inlineStr">
        <is>
          <t>Exit surveys</t>
        </is>
      </c>
      <c r="B7" s="44" t="inlineStr">
        <is>
          <t>/feedback/exit</t>
        </is>
      </c>
      <c r="C7" s="44" t="inlineStr">
        <is>
          <t>exit_surveys</t>
        </is>
      </c>
      <c r="D7" s="35" t="inlineStr">
        <is>
          <t>client_id, enrollment_id, program, reason, reason_other, comeback_text, current_day, created_at</t>
        </is>
      </c>
      <c r="E7" s="35" t="inlineStr">
        <is>
          <t>/api/exit-survey (NEW)</t>
        </is>
      </c>
      <c r="F7" s="84" t="inlineStr">
        <is>
          <t>https://supabase.com/dashboard/project/rmdjglepocaswpplwgik/editor?table=exit_surveys&amp;sort=created_at.desc</t>
        </is>
      </c>
    </row>
    <row r="8" ht="60" customHeight="1" s="30">
      <c r="A8" s="83" t="inlineStr">
        <is>
          <t>Testimonial surveys (private)</t>
        </is>
      </c>
      <c r="B8" s="44" t="inlineStr">
        <is>
          <t>/feedback/testimonial</t>
        </is>
      </c>
      <c r="C8" s="44" t="inlineStr">
        <is>
          <t>testimonial_surveys</t>
        </is>
      </c>
      <c r="D8" s="35" t="inlineStr">
        <is>
          <t>client_id, enrollment_id, program, describe_text, changed_text, permission_given, promoted_to_id, created_at</t>
        </is>
      </c>
      <c r="E8" s="35" t="inlineStr">
        <is>
          <t>/api/testimonial-survey (NEW)</t>
        </is>
      </c>
      <c r="F8" s="84" t="inlineStr">
        <is>
          <t>https://supabase.com/dashboard/project/rmdjglepocaswpplwgik/editor?table=testimonial_surveys&amp;sort=created_at.desc</t>
        </is>
      </c>
    </row>
    <row r="9" ht="60" customHeight="1" s="30">
      <c r="A9" s="83" t="inlineStr">
        <is>
          <t>Assessment quiz</t>
        </is>
      </c>
      <c r="B9" s="44" t="inlineStr">
        <is>
          <t>/assessment</t>
        </is>
      </c>
      <c r="C9" s="44" t="inlineStr">
        <is>
          <t>assessment_responses</t>
        </is>
      </c>
      <c r="D9" s="35" t="inlineStr">
        <is>
          <t>email (nullable), scores (jsonb), avg_score, top_disruptions, situation, challenge, source, user_agent, created_at</t>
        </is>
      </c>
      <c r="E9" s="35" t="inlineStr">
        <is>
          <t>/api/assessment (NEW)</t>
        </is>
      </c>
      <c r="F9" s="84" t="inlineStr">
        <is>
          <t>https://supabase.com/dashboard/project/rmdjglepocaswpplwgik/editor?table=assessment_responses&amp;sort=created_at.desc</t>
        </is>
      </c>
    </row>
    <row r="10"/>
    <row r="11"/>
    <row r="12">
      <c r="A12" s="39" t="inlineStr">
        <is>
          <t>EXISTING STRUCTURED TABLES — already in DB</t>
        </is>
      </c>
    </row>
    <row r="13">
      <c r="A13" s="40" t="inlineStr">
        <is>
          <t>Source</t>
        </is>
      </c>
      <c r="B13" s="40" t="inlineStr">
        <is>
          <t>User-facing page</t>
        </is>
      </c>
      <c r="C13" s="40" t="inlineStr">
        <is>
          <t>Supabase table</t>
        </is>
      </c>
      <c r="D13" s="40" t="inlineStr">
        <is>
          <t>Key columns</t>
        </is>
      </c>
      <c r="E13" s="40" t="inlineStr">
        <is>
          <t>Notes</t>
        </is>
      </c>
      <c r="F13" s="40" t="inlineStr">
        <is>
          <t>Supabase URL</t>
        </is>
      </c>
    </row>
    <row r="14" ht="60" customHeight="1" s="30">
      <c r="A14" s="83" t="inlineStr">
        <is>
          <t>Intake answers</t>
        </is>
      </c>
      <c r="B14" s="44" t="inlineStr">
        <is>
          <t>/intake</t>
        </is>
      </c>
      <c r="C14" s="44" t="inlineStr">
        <is>
          <t>program_enrollments</t>
        </is>
      </c>
      <c r="D14" s="35" t="inlineStr">
        <is>
          <t>pre_start_data (jsonb), onboarding_data (jsonb), assessment_data (jsonb)</t>
        </is>
      </c>
      <c r="E14" s="35" t="inlineStr">
        <is>
          <t>Stored as jsonb on the enrollment row</t>
        </is>
      </c>
      <c r="F14" s="84" t="inlineStr">
        <is>
          <t>https://supabase.com/dashboard/project/rmdjglepocaswpplwgik/editor?table=program_enrollments&amp;sort=created_at.desc</t>
        </is>
      </c>
    </row>
    <row r="15" ht="60" customHeight="1" s="30">
      <c r="A15" s="83" t="inlineStr">
        <is>
          <t>Public testimonials wall</t>
        </is>
      </c>
      <c r="B15" s="44" t="inlineStr">
        <is>
          <t>/share</t>
        </is>
      </c>
      <c r="C15" s="44" t="inlineStr">
        <is>
          <t>testimonials</t>
        </is>
      </c>
      <c r="D15" s="35" t="inlineStr">
        <is>
          <t>kind (text/social/video), body, attribution, outcome_tags, status (pending/approved/rejected), consent_given_at</t>
        </is>
      </c>
      <c r="E15" s="35" t="inlineStr">
        <is>
          <t>Public testimonials approved for the wall</t>
        </is>
      </c>
      <c r="F15" s="84" t="inlineStr">
        <is>
          <t>https://supabase.com/dashboard/project/rmdjglepocaswpplwgik/editor?table=testimonials&amp;sort=created_at.desc</t>
        </is>
      </c>
    </row>
    <row r="16" ht="60" customHeight="1" s="30">
      <c r="A16" s="83" t="inlineStr">
        <is>
          <t>Critical feedback (Day 26 + share page)</t>
        </is>
      </c>
      <c r="B16" s="44" t="inlineStr">
        <is>
          <t>/day/26 (TellTab) + /share feedback tab</t>
        </is>
      </c>
      <c r="C16" s="44" t="inlineStr">
        <is>
          <t>feedback_entries</t>
        </is>
      </c>
      <c r="D16" s="35" t="inlineStr">
        <is>
          <t>user_id, enrollment_id, day_number, source (day_26_prompt | share_page_feedback_tab | other), body, created_at</t>
        </is>
      </c>
      <c r="E16" s="35" t="inlineStr">
        <is>
          <t>THE most important table for product improvement. Service-role-only RLS. Auto-mirror from journal Day 26 via useStep2Journal.ts</t>
        </is>
      </c>
      <c r="F16" s="84" t="inlineStr">
        <is>
          <t>https://supabase.com/dashboard/project/rmdjglepocaswpplwgik/editor?table=feedback_entries&amp;sort=created_at.desc</t>
        </is>
      </c>
    </row>
    <row r="17" ht="60" customHeight="1" s="30">
      <c r="A17" s="83" t="inlineStr">
        <is>
          <t>Quality flags</t>
        </is>
      </c>
      <c r="B17" s="44" t="inlineStr">
        <is>
          <t>FlagButton (in-app, on AI outputs)</t>
        </is>
      </c>
      <c r="C17" s="44" t="inlineStr">
        <is>
          <t>quality_flags</t>
        </is>
      </c>
      <c r="D17" s="35" t="inlineStr">
        <is>
          <t>output_type, framework_name, flag_reason, user_comment</t>
        </is>
      </c>
      <c r="E17" s="35" t="inlineStr">
        <is>
          <t>User-flagged AI outputs (off tone, inaccurate, etc.)</t>
        </is>
      </c>
      <c r="F17" s="84" t="inlineStr">
        <is>
          <t>https://supabase.com/dashboard/project/rmdjglepocaswpplwgik/editor?table=quality_flags&amp;sort=created_at.desc</t>
        </is>
      </c>
    </row>
    <row r="18" ht="60" customHeight="1" s="30">
      <c r="A18" s="83" t="inlineStr">
        <is>
          <t>Weekly review reflections + NPS</t>
        </is>
      </c>
      <c r="B18" s="44" t="inlineStr">
        <is>
          <t>/weekly-review</t>
        </is>
      </c>
      <c r="C18" s="44" t="inlineStr">
        <is>
          <t>weekly_reviews</t>
        </is>
      </c>
      <c r="D18" s="35" t="inlineStr">
        <is>
          <t>reflection, plan_adjustments, goal_ratings (jsonb), nps_score, week_number, top_themes</t>
        </is>
      </c>
      <c r="E18" s="35" t="inlineStr">
        <is>
          <t>Includes NPS score per week</t>
        </is>
      </c>
      <c r="F18" s="84" t="inlineStr">
        <is>
          <t>https://supabase.com/dashboard/project/rmdjglepocaswpplwgik/editor?table=weekly_reviews&amp;sort=created_at.desc</t>
        </is>
      </c>
    </row>
    <row r="19" ht="60" customHeight="1" s="30">
      <c r="A19" s="83" t="inlineStr">
        <is>
          <t>Daily journal entries + ratings</t>
        </is>
      </c>
      <c r="B19" s="44" t="inlineStr">
        <is>
          <t>/day/[N] (TellTab + DoneTab)</t>
        </is>
      </c>
      <c r="C19" s="44" t="inlineStr">
        <is>
          <t>daily_sessions</t>
        </is>
      </c>
      <c r="D19" s="35" t="inlineStr">
        <is>
          <t>step_2_journal, day_rating, day_feedback, completed_at</t>
        </is>
      </c>
      <c r="E19" s="35" t="inlineStr">
        <is>
          <t>One row per day per enrollment</t>
        </is>
      </c>
      <c r="F19" s="84" t="inlineStr">
        <is>
          <t>https://supabase.com/dashboard/project/rmdjglepocaswpplwgik/editor?table=daily_sessions&amp;sort=completed_at.desc</t>
        </is>
      </c>
    </row>
    <row r="20" ht="60" customHeight="1" s="30">
      <c r="A20" s="83" t="inlineStr">
        <is>
          <t>Exercise responses + star ratings</t>
        </is>
      </c>
      <c r="B20" s="44" t="inlineStr">
        <is>
          <t>/day/[N] (DoTab)</t>
        </is>
      </c>
      <c r="C20" s="44" t="inlineStr">
        <is>
          <t>exercise_completions</t>
        </is>
      </c>
      <c r="D20" s="35" t="inlineStr">
        <is>
          <t>framework_name, exercise_type, modality, responses (jsonb), star_rating, feedback</t>
        </is>
      </c>
      <c r="E20" s="35" t="inlineStr">
        <is>
          <t>Per-exercise structured + freeform feedback</t>
        </is>
      </c>
      <c r="F20" s="84" t="inlineStr">
        <is>
          <t>https://supabase.com/dashboard/project/rmdjglepocaswpplwgik/editor?table=exercise_completions&amp;sort=completed_at.desc</t>
        </is>
      </c>
    </row>
    <row r="21" ht="60" customHeight="1" s="30">
      <c r="A21" s="83" t="inlineStr">
        <is>
          <t>Final program insights</t>
        </is>
      </c>
      <c r="B21" s="44" t="inlineStr">
        <is>
          <t>/insights/final</t>
        </is>
      </c>
      <c r="C21" s="44" t="inlineStr">
        <is>
          <t>final_insights</t>
        </is>
      </c>
      <c r="D21" s="35" t="inlineStr">
        <is>
          <t>content (AI-generated), status, program_slug, generated_at</t>
        </is>
      </c>
      <c r="E21" s="35" t="inlineStr">
        <is>
          <t>Generated at program off-ramp</t>
        </is>
      </c>
      <c r="F21" s="84" t="inlineStr">
        <is>
          <t>https://supabase.com/dashboard/project/rmdjglepocaswpplwgik/editor?table=final_insights&amp;sort=created_at.desc</t>
        </is>
      </c>
    </row>
    <row r="22">
      <c r="A22" s="83" t="inlineStr">
        <is>
          <t>Waitlist signups</t>
        </is>
      </c>
      <c r="B22" s="44" t="inlineStr">
        <is>
          <t>Homepage ComingSoonWaitlist + /assessment fallback</t>
        </is>
      </c>
      <c r="C22" s="44" t="inlineStr">
        <is>
          <t>waitlist_signups</t>
        </is>
      </c>
      <c r="D22" s="35" t="inlineStr">
        <is>
          <t>email, program (free-text — assessment quiz scores legacy-flattened here)</t>
        </is>
      </c>
      <c r="E22" s="35" t="inlineStr">
        <is>
          <t>Assessment scores now in assessment_responses; this stays for waitlist signups</t>
        </is>
      </c>
      <c r="F22" s="84" t="inlineStr">
        <is>
          <t>https://supabase.com/dashboard/project/rmdjglepocaswpplwgik/editor?table=waitlist_signups&amp;sort=created_at.desc</t>
        </is>
      </c>
    </row>
    <row r="23"/>
    <row r="24"/>
    <row r="25">
      <c r="A25" s="39" t="inlineStr">
        <is>
          <t>WEEKLY QUALITATIVE REVIEW — copy each Monday</t>
        </is>
      </c>
    </row>
    <row r="26" ht="30" customHeight="1" s="30">
      <c r="A26" s="40" t="inlineStr">
        <is>
          <t>Step</t>
        </is>
      </c>
      <c r="B26" s="40" t="inlineStr">
        <is>
          <t>Action</t>
        </is>
      </c>
    </row>
    <row r="27" ht="30" customHeight="1" s="30">
      <c r="A27" s="83" t="inlineStr">
        <is>
          <t>1</t>
        </is>
      </c>
      <c r="B27" s="35" t="inlineStr">
        <is>
          <t>Open Supabase coaching_applications. Filter status=new. Triage each one — mark reviewing/qualified/declined.</t>
        </is>
      </c>
    </row>
    <row r="28" ht="30" customHeight="1" s="30">
      <c r="A28" s="83" t="inlineStr">
        <is>
          <t>2</t>
        </is>
      </c>
      <c r="B28" s="35" t="inlineStr">
        <is>
          <t>Open exit_surveys. Read every new row. Tag the most common reasons. Look for the comeback_text patterns.</t>
        </is>
      </c>
    </row>
    <row r="29" ht="30" customHeight="1" s="30">
      <c r="A29" s="83" t="inlineStr">
        <is>
          <t>3</t>
        </is>
      </c>
      <c r="B29" s="35" t="inlineStr">
        <is>
          <t>Open testimonial_surveys. For permission_given=true rows, decide which to promote to the public testimonials table.</t>
        </is>
      </c>
    </row>
    <row r="30" ht="30" customHeight="1" s="30">
      <c r="A30" s="83" t="inlineStr">
        <is>
          <t>4</t>
        </is>
      </c>
      <c r="B30" s="35" t="inlineStr">
        <is>
          <t>Open assessment_responses. Look at avg_score distribution and top_disruptions. Are people scoring low on the same things consistently?</t>
        </is>
      </c>
    </row>
    <row r="31" ht="30" customHeight="1" s="30">
      <c r="A31" s="83" t="inlineStr">
        <is>
          <t>5</t>
        </is>
      </c>
      <c r="B31" s="35" t="inlineStr">
        <is>
          <t>Open weekly_reviews. Read reflection + plan_adjustments. Note the NPS score average for the week.</t>
        </is>
      </c>
    </row>
    <row r="32" ht="30" customHeight="1" s="30">
      <c r="A32" s="83" t="inlineStr">
        <is>
          <t>6</t>
        </is>
      </c>
      <c r="B32" s="35" t="inlineStr">
        <is>
          <t>Open quality_flags. Are the same exercises getting flagged repeatedly? That's an exercise-design problem.</t>
        </is>
      </c>
    </row>
    <row r="33" ht="30" customHeight="1" s="30">
      <c r="A33" s="83" t="inlineStr">
        <is>
          <t>7</t>
        </is>
      </c>
      <c r="B33" s="35" t="inlineStr">
        <is>
          <t>Open daily_sessions. Skim day_feedback (the freeform field). Patterns?</t>
        </is>
      </c>
    </row>
    <row r="34">
      <c r="A34" s="83" t="inlineStr">
        <is>
          <t>8</t>
        </is>
      </c>
      <c r="B34" s="35" t="inlineStr">
        <is>
          <t>Open exercise_completions where star_rating is not null. Sort by lowest rating. Read the feedback column.</t>
        </is>
      </c>
    </row>
  </sheetData>
  <mergeCells count="14">
    <mergeCell ref="A24:F24"/>
    <mergeCell ref="A2:F2"/>
    <mergeCell ref="B30:F30"/>
    <mergeCell ref="B29:F29"/>
    <mergeCell ref="B33:F33"/>
    <mergeCell ref="A1:F1"/>
    <mergeCell ref="B25:F25"/>
    <mergeCell ref="B28:F28"/>
    <mergeCell ref="B31:F31"/>
    <mergeCell ref="A12:F12"/>
    <mergeCell ref="A4:F4"/>
    <mergeCell ref="B32:F32"/>
    <mergeCell ref="B26:F26"/>
    <mergeCell ref="B27:F27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  <hyperlink xmlns:r="http://schemas.openxmlformats.org/officeDocument/2006/relationships" ref="F9" r:id="rId4"/>
    <hyperlink xmlns:r="http://schemas.openxmlformats.org/officeDocument/2006/relationships" ref="F14" r:id="rId5"/>
    <hyperlink xmlns:r="http://schemas.openxmlformats.org/officeDocument/2006/relationships" ref="F15" r:id="rId6"/>
    <hyperlink xmlns:r="http://schemas.openxmlformats.org/officeDocument/2006/relationships" ref="F16" r:id="rId7"/>
    <hyperlink xmlns:r="http://schemas.openxmlformats.org/officeDocument/2006/relationships" ref="F16" r:id="rId8"/>
    <hyperlink xmlns:r="http://schemas.openxmlformats.org/officeDocument/2006/relationships" ref="F17" r:id="rId9"/>
    <hyperlink xmlns:r="http://schemas.openxmlformats.org/officeDocument/2006/relationships" ref="F18" r:id="rId10"/>
    <hyperlink xmlns:r="http://schemas.openxmlformats.org/officeDocument/2006/relationships" ref="F19" r:id="rId11"/>
    <hyperlink xmlns:r="http://schemas.openxmlformats.org/officeDocument/2006/relationships" ref="F20" r:id="rId12"/>
    <hyperlink xmlns:r="http://schemas.openxmlformats.org/officeDocument/2006/relationships" ref="F21" r:id="rId1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tabColor rgb="FF1B2A4A"/>
    <outlinePr summaryBelow="1" summaryRight="1"/>
    <pageSetUpPr fitToPage="0"/>
  </sheetPr>
  <dimension ref="A1:R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46" min="1" max="1"/>
    <col width="12" customWidth="1" style="46" min="2" max="3"/>
    <col width="14" customWidth="1" style="46" min="4" max="4"/>
    <col width="18" customWidth="1" style="46" min="5" max="5"/>
    <col width="14" customWidth="1" style="46" min="6" max="6"/>
    <col width="16" customWidth="1" style="46" min="7" max="7"/>
    <col width="14" customWidth="1" style="46" min="8" max="8"/>
    <col width="16" customWidth="1" style="46" min="9" max="9"/>
    <col width="13" customWidth="1" style="46" min="10" max="10"/>
    <col width="15" customWidth="1" style="46" min="11" max="11"/>
    <col width="18" customWidth="1" style="46" min="12" max="15"/>
    <col width="20" customWidth="1" style="46" min="16" max="16"/>
    <col width="12" customWidth="1" style="46" min="17" max="17"/>
    <col width="50" customWidth="1" style="30" min="18" max="18"/>
  </cols>
  <sheetData>
    <row r="1" ht="17.35" customHeight="1" s="30">
      <c r="A1" s="47" t="inlineStr">
        <is>
          <t>MINDCRAFT — Weekly Marketing-to-Sales Funnel</t>
        </is>
      </c>
    </row>
    <row r="3" ht="15" customHeight="1" s="30">
      <c r="A3" s="48" t="n"/>
      <c r="B3" s="49" t="inlineStr">
        <is>
          <t>TRAFFIC</t>
        </is>
      </c>
      <c r="C3" s="50" t="n"/>
      <c r="D3" s="50" t="n"/>
      <c r="E3" s="49" t="inlineStr">
        <is>
          <t>ENGAGEMENT</t>
        </is>
      </c>
      <c r="F3" s="50" t="n"/>
      <c r="G3" s="50" t="n"/>
      <c r="H3" s="49" t="inlineStr">
        <is>
          <t>LEAD CAPTURE</t>
        </is>
      </c>
      <c r="I3" s="50" t="n"/>
      <c r="J3" s="49" t="inlineStr">
        <is>
          <t>ACTIVATION</t>
        </is>
      </c>
      <c r="K3" s="50" t="n"/>
      <c r="L3" s="49" t="inlineStr">
        <is>
          <t>CHECKOUT</t>
        </is>
      </c>
      <c r="M3" s="50" t="n"/>
      <c r="N3" s="50" t="n"/>
      <c r="O3" s="50" t="n"/>
      <c r="P3" s="49" t="inlineStr">
        <is>
          <t>RETENTION</t>
        </is>
      </c>
      <c r="Q3" s="50" t="n"/>
    </row>
    <row r="4" ht="26.85" customHeight="1" s="30">
      <c r="A4" s="51" t="inlineStr">
        <is>
          <t>Week Starting</t>
        </is>
      </c>
      <c r="B4" s="51" t="inlineStr">
        <is>
          <t>Sessions</t>
        </is>
      </c>
      <c r="C4" s="51" t="inlineStr">
        <is>
          <t>New Users</t>
        </is>
      </c>
      <c r="D4" s="51" t="inlineStr">
        <is>
          <t>Returning Users</t>
        </is>
      </c>
      <c r="E4" s="51" t="inlineStr">
        <is>
          <t>Avg Time on Page (s)</t>
        </is>
      </c>
      <c r="F4" s="51" t="inlineStr">
        <is>
          <t>Scroll Depth %</t>
        </is>
      </c>
      <c r="G4" s="51" t="inlineStr">
        <is>
          <t>CTA Click Rate %</t>
        </is>
      </c>
      <c r="H4" s="51" t="inlineStr">
        <is>
          <t>Email Signups</t>
        </is>
      </c>
      <c r="I4" s="51" t="inlineStr">
        <is>
          <t>Lead Conv Rate %</t>
        </is>
      </c>
      <c r="J4" s="51" t="inlineStr">
        <is>
          <t>Activations</t>
        </is>
      </c>
      <c r="K4" s="51" t="inlineStr">
        <is>
          <t>Activation Rate %</t>
        </is>
      </c>
      <c r="L4" s="51" t="inlineStr">
        <is>
          <t>Checkouts Initiated</t>
        </is>
      </c>
      <c r="M4" s="51" t="inlineStr">
        <is>
          <t>Payments Completed</t>
        </is>
      </c>
      <c r="N4" s="51" t="inlineStr">
        <is>
          <t>Checkout Drop-off %</t>
        </is>
      </c>
      <c r="O4" s="51" t="inlineStr">
        <is>
          <t>Avg Order Value ($)</t>
        </is>
      </c>
      <c r="P4" s="51" t="inlineStr">
        <is>
          <t>Program Completions</t>
        </is>
      </c>
      <c r="Q4" s="51" t="inlineStr">
        <is>
          <t>Referrals</t>
        </is>
      </c>
      <c r="R4" s="32" t="inlineStr">
        <is>
          <t>Notes</t>
        </is>
      </c>
    </row>
    <row r="5" ht="80" customHeight="1" s="30">
      <c r="A5" s="52" t="n">
        <v>46118</v>
      </c>
      <c r="B5" s="53" t="n">
        <v>0</v>
      </c>
      <c r="C5" s="53" t="n">
        <v>0</v>
      </c>
      <c r="D5" s="53" t="n">
        <v>0</v>
      </c>
      <c r="E5" s="53" t="n">
        <v>0</v>
      </c>
      <c r="F5" s="53" t="n">
        <v>0</v>
      </c>
      <c r="G5" s="53" t="n">
        <v>0</v>
      </c>
      <c r="H5" s="53" t="n">
        <v>0</v>
      </c>
      <c r="I5" s="54">
        <f>IF(B5=0,"-",H5/B5)</f>
        <v/>
      </c>
      <c r="J5" s="53" t="n">
        <v>0</v>
      </c>
      <c r="K5" s="54">
        <f>IF(H5=0,"-",J5/H5)</f>
        <v/>
      </c>
      <c r="L5" s="53" t="n">
        <v>0</v>
      </c>
      <c r="M5" s="53" t="n">
        <v>0</v>
      </c>
      <c r="N5" s="54">
        <f>IF(L5=0,"-",1-(M5/L5))</f>
        <v/>
      </c>
      <c r="O5" s="53" t="n">
        <v>0</v>
      </c>
      <c r="P5" s="53" t="n">
        <v>0</v>
      </c>
      <c r="Q5" s="53" t="n">
        <v>0</v>
      </c>
      <c r="R5" s="55" t="inlineStr">
        <is>
          <t>Site deployed 2026-04-07 to mindcraft.ing. Code instrumentation complete (~95 events live). GA4 custom dimensions (16) + metrics (7) registered. Vercel env vars confirmed (GA4_API_SECRET, GA4_MEASUREMENT_ID). No real traffic yet — only ~73 test events fired by Claude session. Stripe webhook still pending in Stripe dashboard.</t>
        </is>
      </c>
    </row>
    <row r="6" ht="15" customHeight="1" s="30">
      <c r="A6" s="56" t="n"/>
      <c r="B6" s="56" t="n"/>
      <c r="C6" s="56" t="n"/>
      <c r="D6" s="56" t="n"/>
      <c r="E6" s="56" t="n"/>
      <c r="F6" s="57" t="n"/>
      <c r="G6" s="57" t="n"/>
      <c r="H6" s="56" t="n"/>
      <c r="I6" s="58">
        <f>IF(B6=0,"-",H6/B6)</f>
        <v/>
      </c>
      <c r="J6" s="56" t="n"/>
      <c r="K6" s="58">
        <f>IF(H6=0,"-",J6/H6)</f>
        <v/>
      </c>
      <c r="L6" s="56" t="n"/>
      <c r="M6" s="56" t="n"/>
      <c r="N6" s="58">
        <f>IF(L6=0,"-",1-(M6/L6))</f>
        <v/>
      </c>
      <c r="O6" s="59" t="n"/>
      <c r="P6" s="56" t="n"/>
      <c r="Q6" s="56" t="n"/>
    </row>
    <row r="7" ht="15" customHeight="1" s="30">
      <c r="A7" s="60" t="n"/>
      <c r="B7" s="60" t="n"/>
      <c r="C7" s="60" t="n"/>
      <c r="D7" s="60" t="n"/>
      <c r="E7" s="60" t="n"/>
      <c r="F7" s="61" t="n"/>
      <c r="G7" s="61" t="n"/>
      <c r="H7" s="60" t="n"/>
      <c r="I7" s="54">
        <f>IF(B7=0,"-",H7/B7)</f>
        <v/>
      </c>
      <c r="J7" s="60" t="n"/>
      <c r="K7" s="54">
        <f>IF(H7=0,"-",J7/H7)</f>
        <v/>
      </c>
      <c r="L7" s="60" t="n"/>
      <c r="M7" s="60" t="n"/>
      <c r="N7" s="54">
        <f>IF(L7=0,"-",1-(M7/L7))</f>
        <v/>
      </c>
      <c r="O7" s="62" t="n"/>
      <c r="P7" s="60" t="n"/>
      <c r="Q7" s="60" t="n"/>
    </row>
    <row r="8" ht="15" customHeight="1" s="30">
      <c r="A8" s="56" t="n"/>
      <c r="B8" s="56" t="n"/>
      <c r="C8" s="56" t="n"/>
      <c r="D8" s="56" t="n"/>
      <c r="E8" s="56" t="n"/>
      <c r="F8" s="57" t="n"/>
      <c r="G8" s="57" t="n"/>
      <c r="H8" s="56" t="n"/>
      <c r="I8" s="58">
        <f>IF(B8=0,"-",H8/B8)</f>
        <v/>
      </c>
      <c r="J8" s="56" t="n"/>
      <c r="K8" s="58">
        <f>IF(H8=0,"-",J8/H8)</f>
        <v/>
      </c>
      <c r="L8" s="56" t="n"/>
      <c r="M8" s="56" t="n"/>
      <c r="N8" s="58">
        <f>IF(L8=0,"-",1-(M8/L8))</f>
        <v/>
      </c>
      <c r="O8" s="59" t="n"/>
      <c r="P8" s="56" t="n"/>
      <c r="Q8" s="56" t="n"/>
    </row>
    <row r="9" ht="15" customHeight="1" s="30">
      <c r="A9" s="60" t="n"/>
      <c r="B9" s="60" t="n"/>
      <c r="C9" s="60" t="n"/>
      <c r="D9" s="60" t="n"/>
      <c r="E9" s="60" t="n"/>
      <c r="F9" s="61" t="n"/>
      <c r="G9" s="61" t="n"/>
      <c r="H9" s="60" t="n"/>
      <c r="I9" s="54">
        <f>IF(B9=0,"-",H9/B9)</f>
        <v/>
      </c>
      <c r="J9" s="60" t="n"/>
      <c r="K9" s="54">
        <f>IF(H9=0,"-",J9/H9)</f>
        <v/>
      </c>
      <c r="L9" s="60" t="n"/>
      <c r="M9" s="60" t="n"/>
      <c r="N9" s="54">
        <f>IF(L9=0,"-",1-(M9/L9))</f>
        <v/>
      </c>
      <c r="O9" s="62" t="n"/>
      <c r="P9" s="60" t="n"/>
      <c r="Q9" s="60" t="n"/>
    </row>
    <row r="10" ht="15" customHeight="1" s="30">
      <c r="A10" s="56" t="n"/>
      <c r="B10" s="56" t="n"/>
      <c r="C10" s="56" t="n"/>
      <c r="D10" s="56" t="n"/>
      <c r="E10" s="56" t="n"/>
      <c r="F10" s="57" t="n"/>
      <c r="G10" s="57" t="n"/>
      <c r="H10" s="56" t="n"/>
      <c r="I10" s="58">
        <f>IF(B10=0,"-",H10/B10)</f>
        <v/>
      </c>
      <c r="J10" s="56" t="n"/>
      <c r="K10" s="58">
        <f>IF(H10=0,"-",J10/H10)</f>
        <v/>
      </c>
      <c r="L10" s="56" t="n"/>
      <c r="M10" s="56" t="n"/>
      <c r="N10" s="58">
        <f>IF(L10=0,"-",1-(M10/L10))</f>
        <v/>
      </c>
      <c r="O10" s="59" t="n"/>
      <c r="P10" s="56" t="n"/>
      <c r="Q10" s="56" t="n"/>
    </row>
    <row r="11" ht="15" customHeight="1" s="30">
      <c r="A11" s="60" t="n"/>
      <c r="B11" s="60" t="n"/>
      <c r="C11" s="60" t="n"/>
      <c r="D11" s="60" t="n"/>
      <c r="E11" s="60" t="n"/>
      <c r="F11" s="61" t="n"/>
      <c r="G11" s="61" t="n"/>
      <c r="H11" s="60" t="n"/>
      <c r="I11" s="54">
        <f>IF(B11=0,"-",H11/B11)</f>
        <v/>
      </c>
      <c r="J11" s="60" t="n"/>
      <c r="K11" s="54">
        <f>IF(H11=0,"-",J11/H11)</f>
        <v/>
      </c>
      <c r="L11" s="60" t="n"/>
      <c r="M11" s="60" t="n"/>
      <c r="N11" s="54">
        <f>IF(L11=0,"-",1-(M11/L11))</f>
        <v/>
      </c>
      <c r="O11" s="62" t="n"/>
      <c r="P11" s="60" t="n"/>
      <c r="Q11" s="60" t="n"/>
    </row>
    <row r="12" ht="15" customHeight="1" s="30">
      <c r="A12" s="56" t="n"/>
      <c r="B12" s="56" t="n"/>
      <c r="C12" s="56" t="n"/>
      <c r="D12" s="56" t="n"/>
      <c r="E12" s="56" t="n"/>
      <c r="F12" s="57" t="n"/>
      <c r="G12" s="57" t="n"/>
      <c r="H12" s="56" t="n"/>
      <c r="I12" s="58">
        <f>IF(B12=0,"-",H12/B12)</f>
        <v/>
      </c>
      <c r="J12" s="56" t="n"/>
      <c r="K12" s="58">
        <f>IF(H12=0,"-",J12/H12)</f>
        <v/>
      </c>
      <c r="L12" s="56" t="n"/>
      <c r="M12" s="56" t="n"/>
      <c r="N12" s="58">
        <f>IF(L12=0,"-",1-(M12/L12))</f>
        <v/>
      </c>
      <c r="O12" s="59" t="n"/>
      <c r="P12" s="56" t="n"/>
      <c r="Q12" s="56" t="n"/>
    </row>
    <row r="13" ht="15" customHeight="1" s="30">
      <c r="A13" s="60" t="n"/>
      <c r="B13" s="60" t="n"/>
      <c r="C13" s="60" t="n"/>
      <c r="D13" s="60" t="n"/>
      <c r="E13" s="60" t="n"/>
      <c r="F13" s="61" t="n"/>
      <c r="G13" s="61" t="n"/>
      <c r="H13" s="60" t="n"/>
      <c r="I13" s="54">
        <f>IF(B13=0,"-",H13/B13)</f>
        <v/>
      </c>
      <c r="J13" s="60" t="n"/>
      <c r="K13" s="54">
        <f>IF(H13=0,"-",J13/H13)</f>
        <v/>
      </c>
      <c r="L13" s="60" t="n"/>
      <c r="M13" s="60" t="n"/>
      <c r="N13" s="54">
        <f>IF(L13=0,"-",1-(M13/L13))</f>
        <v/>
      </c>
      <c r="O13" s="62" t="n"/>
      <c r="P13" s="60" t="n"/>
      <c r="Q13" s="60" t="n"/>
    </row>
    <row r="14" ht="15" customHeight="1" s="30">
      <c r="A14" s="56" t="n"/>
      <c r="B14" s="56" t="n"/>
      <c r="C14" s="56" t="n"/>
      <c r="D14" s="56" t="n"/>
      <c r="E14" s="56" t="n"/>
      <c r="F14" s="57" t="n"/>
      <c r="G14" s="57" t="n"/>
      <c r="H14" s="56" t="n"/>
      <c r="I14" s="58">
        <f>IF(B14=0,"-",H14/B14)</f>
        <v/>
      </c>
      <c r="J14" s="56" t="n"/>
      <c r="K14" s="58">
        <f>IF(H14=0,"-",J14/H14)</f>
        <v/>
      </c>
      <c r="L14" s="56" t="n"/>
      <c r="M14" s="56" t="n"/>
      <c r="N14" s="58">
        <f>IF(L14=0,"-",1-(M14/L14))</f>
        <v/>
      </c>
      <c r="O14" s="59" t="n"/>
      <c r="P14" s="56" t="n"/>
      <c r="Q14" s="56" t="n"/>
    </row>
    <row r="15" ht="15" customHeight="1" s="30">
      <c r="A15" s="60" t="n"/>
      <c r="B15" s="60" t="n"/>
      <c r="C15" s="60" t="n"/>
      <c r="D15" s="60" t="n"/>
      <c r="E15" s="60" t="n"/>
      <c r="F15" s="61" t="n"/>
      <c r="G15" s="61" t="n"/>
      <c r="H15" s="60" t="n"/>
      <c r="I15" s="54">
        <f>IF(B15=0,"-",H15/B15)</f>
        <v/>
      </c>
      <c r="J15" s="60" t="n"/>
      <c r="K15" s="54">
        <f>IF(H15=0,"-",J15/H15)</f>
        <v/>
      </c>
      <c r="L15" s="60" t="n"/>
      <c r="M15" s="60" t="n"/>
      <c r="N15" s="54">
        <f>IF(L15=0,"-",1-(M15/L15))</f>
        <v/>
      </c>
      <c r="O15" s="62" t="n"/>
      <c r="P15" s="60" t="n"/>
      <c r="Q15" s="60" t="n"/>
    </row>
    <row r="16" ht="15" customHeight="1" s="30">
      <c r="A16" s="56" t="n"/>
      <c r="B16" s="56" t="n"/>
      <c r="C16" s="56" t="n"/>
      <c r="D16" s="56" t="n"/>
      <c r="E16" s="56" t="n"/>
      <c r="F16" s="57" t="n"/>
      <c r="G16" s="57" t="n"/>
      <c r="H16" s="56" t="n"/>
      <c r="I16" s="58">
        <f>IF(B16=0,"-",H16/B16)</f>
        <v/>
      </c>
      <c r="J16" s="56" t="n"/>
      <c r="K16" s="58">
        <f>IF(H16=0,"-",J16/H16)</f>
        <v/>
      </c>
      <c r="L16" s="56" t="n"/>
      <c r="M16" s="56" t="n"/>
      <c r="N16" s="58">
        <f>IF(L16=0,"-",1-(M16/L16))</f>
        <v/>
      </c>
      <c r="O16" s="59" t="n"/>
      <c r="P16" s="56" t="n"/>
      <c r="Q16" s="56" t="n"/>
    </row>
    <row r="17" ht="15" customHeight="1" s="30">
      <c r="A17" s="60" t="n"/>
      <c r="B17" s="60" t="n"/>
      <c r="C17" s="60" t="n"/>
      <c r="D17" s="60" t="n"/>
      <c r="E17" s="60" t="n"/>
      <c r="F17" s="61" t="n"/>
      <c r="G17" s="61" t="n"/>
      <c r="H17" s="60" t="n"/>
      <c r="I17" s="54">
        <f>IF(B17=0,"-",H17/B17)</f>
        <v/>
      </c>
      <c r="J17" s="60" t="n"/>
      <c r="K17" s="54">
        <f>IF(H17=0,"-",J17/H17)</f>
        <v/>
      </c>
      <c r="L17" s="60" t="n"/>
      <c r="M17" s="60" t="n"/>
      <c r="N17" s="54">
        <f>IF(L17=0,"-",1-(M17/L17))</f>
        <v/>
      </c>
      <c r="O17" s="62" t="n"/>
      <c r="P17" s="60" t="n"/>
      <c r="Q17" s="60" t="n"/>
    </row>
    <row r="18" ht="15" customHeight="1" s="30">
      <c r="A18" s="56" t="n"/>
      <c r="B18" s="56" t="n"/>
      <c r="C18" s="56" t="n"/>
      <c r="D18" s="56" t="n"/>
      <c r="E18" s="56" t="n"/>
      <c r="F18" s="57" t="n"/>
      <c r="G18" s="57" t="n"/>
      <c r="H18" s="56" t="n"/>
      <c r="I18" s="58">
        <f>IF(B18=0,"-",H18/B18)</f>
        <v/>
      </c>
      <c r="J18" s="56" t="n"/>
      <c r="K18" s="58">
        <f>IF(H18=0,"-",J18/H18)</f>
        <v/>
      </c>
      <c r="L18" s="56" t="n"/>
      <c r="M18" s="56" t="n"/>
      <c r="N18" s="58">
        <f>IF(L18=0,"-",1-(M18/L18))</f>
        <v/>
      </c>
      <c r="O18" s="59" t="n"/>
      <c r="P18" s="56" t="n"/>
      <c r="Q18" s="56" t="n"/>
    </row>
    <row r="19" ht="15" customHeight="1" s="30">
      <c r="A19" s="60" t="n"/>
      <c r="B19" s="60" t="n"/>
      <c r="C19" s="60" t="n"/>
      <c r="D19" s="60" t="n"/>
      <c r="E19" s="60" t="n"/>
      <c r="F19" s="61" t="n"/>
      <c r="G19" s="61" t="n"/>
      <c r="H19" s="60" t="n"/>
      <c r="I19" s="54">
        <f>IF(B19=0,"-",H19/B19)</f>
        <v/>
      </c>
      <c r="J19" s="60" t="n"/>
      <c r="K19" s="54">
        <f>IF(H19=0,"-",J19/H19)</f>
        <v/>
      </c>
      <c r="L19" s="60" t="n"/>
      <c r="M19" s="60" t="n"/>
      <c r="N19" s="54">
        <f>IF(L19=0,"-",1-(M19/L19))</f>
        <v/>
      </c>
      <c r="O19" s="62" t="n"/>
      <c r="P19" s="60" t="n"/>
      <c r="Q19" s="60" t="n"/>
    </row>
    <row r="20" ht="15" customHeight="1" s="30">
      <c r="A20" s="56" t="n"/>
      <c r="B20" s="56" t="n"/>
      <c r="C20" s="56" t="n"/>
      <c r="D20" s="56" t="n"/>
      <c r="E20" s="56" t="n"/>
      <c r="F20" s="57" t="n"/>
      <c r="G20" s="57" t="n"/>
      <c r="H20" s="56" t="n"/>
      <c r="I20" s="58">
        <f>IF(B20=0,"-",H20/B20)</f>
        <v/>
      </c>
      <c r="J20" s="56" t="n"/>
      <c r="K20" s="58">
        <f>IF(H20=0,"-",J20/H20)</f>
        <v/>
      </c>
      <c r="L20" s="56" t="n"/>
      <c r="M20" s="56" t="n"/>
      <c r="N20" s="58">
        <f>IF(L20=0,"-",1-(M20/L20))</f>
        <v/>
      </c>
      <c r="O20" s="59" t="n"/>
      <c r="P20" s="56" t="n"/>
      <c r="Q20" s="56" t="n"/>
    </row>
    <row r="21" ht="15" customHeight="1" s="30">
      <c r="A21" s="60" t="n"/>
      <c r="B21" s="60" t="n"/>
      <c r="C21" s="60" t="n"/>
      <c r="D21" s="60" t="n"/>
      <c r="E21" s="60" t="n"/>
      <c r="F21" s="61" t="n"/>
      <c r="G21" s="61" t="n"/>
      <c r="H21" s="60" t="n"/>
      <c r="I21" s="54">
        <f>IF(B21=0,"-",H21/B21)</f>
        <v/>
      </c>
      <c r="J21" s="60" t="n"/>
      <c r="K21" s="54">
        <f>IF(H21=0,"-",J21/H21)</f>
        <v/>
      </c>
      <c r="L21" s="60" t="n"/>
      <c r="M21" s="60" t="n"/>
      <c r="N21" s="54">
        <f>IF(L21=0,"-",1-(M21/L21))</f>
        <v/>
      </c>
      <c r="O21" s="62" t="n"/>
      <c r="P21" s="60" t="n"/>
      <c r="Q21" s="60" t="n"/>
    </row>
    <row r="22" ht="15" customHeight="1" s="30">
      <c r="A22" s="56" t="n"/>
      <c r="B22" s="56" t="n"/>
      <c r="C22" s="56" t="n"/>
      <c r="D22" s="56" t="n"/>
      <c r="E22" s="56" t="n"/>
      <c r="F22" s="57" t="n"/>
      <c r="G22" s="57" t="n"/>
      <c r="H22" s="56" t="n"/>
      <c r="I22" s="58">
        <f>IF(B22=0,"-",H22/B22)</f>
        <v/>
      </c>
      <c r="J22" s="56" t="n"/>
      <c r="K22" s="58">
        <f>IF(H22=0,"-",J22/H22)</f>
        <v/>
      </c>
      <c r="L22" s="56" t="n"/>
      <c r="M22" s="56" t="n"/>
      <c r="N22" s="58">
        <f>IF(L22=0,"-",1-(M22/L22))</f>
        <v/>
      </c>
      <c r="O22" s="59" t="n"/>
      <c r="P22" s="56" t="n"/>
      <c r="Q22" s="56" t="n"/>
    </row>
    <row r="23" ht="15" customHeight="1" s="30">
      <c r="A23" s="60" t="n"/>
      <c r="B23" s="60" t="n"/>
      <c r="C23" s="60" t="n"/>
      <c r="D23" s="60" t="n"/>
      <c r="E23" s="60" t="n"/>
      <c r="F23" s="61" t="n"/>
      <c r="G23" s="61" t="n"/>
      <c r="H23" s="60" t="n"/>
      <c r="I23" s="54">
        <f>IF(B23=0,"-",H23/B23)</f>
        <v/>
      </c>
      <c r="J23" s="60" t="n"/>
      <c r="K23" s="54">
        <f>IF(H23=0,"-",J23/H23)</f>
        <v/>
      </c>
      <c r="L23" s="60" t="n"/>
      <c r="M23" s="60" t="n"/>
      <c r="N23" s="54">
        <f>IF(L23=0,"-",1-(M23/L23))</f>
        <v/>
      </c>
      <c r="O23" s="62" t="n"/>
      <c r="P23" s="60" t="n"/>
      <c r="Q23" s="60" t="n"/>
    </row>
    <row r="24" ht="15" customHeight="1" s="30">
      <c r="A24" s="56" t="n"/>
      <c r="B24" s="56" t="n"/>
      <c r="C24" s="56" t="n"/>
      <c r="D24" s="56" t="n"/>
      <c r="E24" s="56" t="n"/>
      <c r="F24" s="57" t="n"/>
      <c r="G24" s="57" t="n"/>
      <c r="H24" s="56" t="n"/>
      <c r="I24" s="58">
        <f>IF(B24=0,"-",H24/B24)</f>
        <v/>
      </c>
      <c r="J24" s="56" t="n"/>
      <c r="K24" s="58">
        <f>IF(H24=0,"-",J24/H24)</f>
        <v/>
      </c>
      <c r="L24" s="56" t="n"/>
      <c r="M24" s="56" t="n"/>
      <c r="N24" s="58">
        <f>IF(L24=0,"-",1-(M24/L24))</f>
        <v/>
      </c>
      <c r="O24" s="59" t="n"/>
      <c r="P24" s="56" t="n"/>
      <c r="Q24" s="56" t="n"/>
    </row>
  </sheetData>
  <mergeCells count="7">
    <mergeCell ref="J3:K3"/>
    <mergeCell ref="B3:D3"/>
    <mergeCell ref="P3:Q3"/>
    <mergeCell ref="L3:O3"/>
    <mergeCell ref="E3:G3"/>
    <mergeCell ref="A1:Q1"/>
    <mergeCell ref="H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D4A03C"/>
    <outlinePr summaryBelow="1" summaryRight="1"/>
    <pageSetUpPr fitToPage="0"/>
  </sheetPr>
  <dimension ref="A1:N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46" min="1" max="1"/>
    <col width="16" customWidth="1" style="46" min="2" max="2"/>
    <col width="14" customWidth="1" style="46" min="3" max="4"/>
    <col width="10" customWidth="1" style="46" min="5" max="6"/>
    <col width="12" customWidth="1" style="46" min="7" max="8"/>
    <col width="14" customWidth="1" style="46" min="9" max="9"/>
    <col width="16" customWidth="1" style="46" min="10" max="10"/>
    <col width="18" customWidth="1" style="46" min="11" max="11"/>
    <col width="14" customWidth="1" style="46" min="12" max="12"/>
    <col width="12" customWidth="1" style="46" min="13" max="13"/>
    <col width="10" customWidth="1" style="46" min="14" max="14"/>
  </cols>
  <sheetData>
    <row r="1" ht="17.35" customHeight="1" s="30">
      <c r="A1" s="47" t="inlineStr">
        <is>
          <t>MINDCRAFT — Channel Performance Breakdown</t>
        </is>
      </c>
    </row>
    <row r="2" ht="15" customHeight="1" s="30">
      <c r="A2" s="63" t="inlineStr">
        <is>
          <t>Filter by week in column A. One row per channel per week. Formulas calculate cost efficiency metrics.</t>
        </is>
      </c>
    </row>
    <row r="3" ht="26.85" customHeight="1" s="30">
      <c r="A3" s="51" t="inlineStr">
        <is>
          <t>Week Starting</t>
        </is>
      </c>
      <c r="B3" s="51" t="inlineStr">
        <is>
          <t>Channel</t>
        </is>
      </c>
      <c r="C3" s="51" t="inlineStr">
        <is>
          <t>Ad Spend ($)</t>
        </is>
      </c>
      <c r="D3" s="51" t="inlineStr">
        <is>
          <t>Impressions</t>
        </is>
      </c>
      <c r="E3" s="51" t="inlineStr">
        <is>
          <t>Clicks</t>
        </is>
      </c>
      <c r="F3" s="51" t="inlineStr">
        <is>
          <t>CTR %</t>
        </is>
      </c>
      <c r="G3" s="51" t="inlineStr">
        <is>
          <t>CPC ($)</t>
        </is>
      </c>
      <c r="H3" s="51" t="inlineStr">
        <is>
          <t>Sessions</t>
        </is>
      </c>
      <c r="I3" s="51" t="inlineStr">
        <is>
          <t>Email Signups</t>
        </is>
      </c>
      <c r="J3" s="51" t="inlineStr">
        <is>
          <t>Cost per Lead ($)</t>
        </is>
      </c>
      <c r="K3" s="51" t="inlineStr">
        <is>
          <t>Payments Completed</t>
        </is>
      </c>
      <c r="L3" s="51" t="inlineStr">
        <is>
          <t>Revenue ($)</t>
        </is>
      </c>
      <c r="M3" s="51" t="inlineStr">
        <is>
          <t>CPA ($)</t>
        </is>
      </c>
      <c r="N3" s="51" t="inlineStr">
        <is>
          <t>ROAS</t>
        </is>
      </c>
    </row>
    <row r="4" ht="15" customHeight="1" s="30">
      <c r="A4" s="60" t="n"/>
      <c r="B4" s="64" t="inlineStr">
        <is>
          <t>Google Ads</t>
        </is>
      </c>
      <c r="C4" s="62" t="n"/>
      <c r="D4" s="60" t="n"/>
      <c r="E4" s="60" t="n"/>
      <c r="F4" s="65">
        <f>IF(D4=0,"-",E4/D4)</f>
        <v/>
      </c>
      <c r="G4" s="66">
        <f>IF(E4=0,"-",C4/E4)</f>
        <v/>
      </c>
      <c r="H4" s="60" t="n"/>
      <c r="I4" s="60" t="n"/>
      <c r="J4" s="66">
        <f>IF(I4=0,"-",C4/I4)</f>
        <v/>
      </c>
      <c r="K4" s="60" t="n"/>
      <c r="L4" s="62" t="n"/>
      <c r="M4" s="66">
        <f>IF(K4=0,"-",C4/K4)</f>
        <v/>
      </c>
      <c r="N4" s="67">
        <f>IF(C4=0,"-",L4/C4)</f>
        <v/>
      </c>
    </row>
    <row r="5" ht="15" customHeight="1" s="30">
      <c r="A5" s="56" t="n"/>
      <c r="B5" s="68" t="inlineStr">
        <is>
          <t>Meta Ads</t>
        </is>
      </c>
      <c r="C5" s="59" t="n"/>
      <c r="D5" s="56" t="n"/>
      <c r="E5" s="56" t="n"/>
      <c r="F5" s="69">
        <f>IF(D5=0,"-",E5/D5)</f>
        <v/>
      </c>
      <c r="G5" s="70">
        <f>IF(E5=0,"-",C5/E5)</f>
        <v/>
      </c>
      <c r="H5" s="56" t="n"/>
      <c r="I5" s="56" t="n"/>
      <c r="J5" s="70">
        <f>IF(I5=0,"-",C5/I5)</f>
        <v/>
      </c>
      <c r="K5" s="56" t="n"/>
      <c r="L5" s="59" t="n"/>
      <c r="M5" s="70">
        <f>IF(K5=0,"-",C5/K5)</f>
        <v/>
      </c>
      <c r="N5" s="71">
        <f>IF(C5=0,"-",L5/C5)</f>
        <v/>
      </c>
    </row>
    <row r="6" ht="15" customHeight="1" s="30">
      <c r="A6" s="60" t="n"/>
      <c r="B6" s="64" t="inlineStr">
        <is>
          <t>Organic Search</t>
        </is>
      </c>
      <c r="C6" s="62" t="n"/>
      <c r="D6" s="60" t="n"/>
      <c r="E6" s="60" t="n"/>
      <c r="F6" s="65">
        <f>IF(D6=0,"-",E6/D6)</f>
        <v/>
      </c>
      <c r="G6" s="66">
        <f>IF(E6=0,"-",C6/E6)</f>
        <v/>
      </c>
      <c r="H6" s="60" t="n"/>
      <c r="I6" s="60" t="n"/>
      <c r="J6" s="66">
        <f>IF(I6=0,"-",C6/I6)</f>
        <v/>
      </c>
      <c r="K6" s="60" t="n"/>
      <c r="L6" s="62" t="n"/>
      <c r="M6" s="66">
        <f>IF(K6=0,"-",C6/K6)</f>
        <v/>
      </c>
      <c r="N6" s="67">
        <f>IF(C6=0,"-",L6/C6)</f>
        <v/>
      </c>
    </row>
    <row r="7" ht="15" customHeight="1" s="30">
      <c r="A7" s="56" t="n"/>
      <c r="B7" s="68" t="inlineStr">
        <is>
          <t>Direct</t>
        </is>
      </c>
      <c r="C7" s="59" t="n"/>
      <c r="D7" s="56" t="n"/>
      <c r="E7" s="56" t="n"/>
      <c r="F7" s="69">
        <f>IF(D7=0,"-",E7/D7)</f>
        <v/>
      </c>
      <c r="G7" s="70">
        <f>IF(E7=0,"-",C7/E7)</f>
        <v/>
      </c>
      <c r="H7" s="56" t="n"/>
      <c r="I7" s="56" t="n"/>
      <c r="J7" s="70">
        <f>IF(I7=0,"-",C7/I7)</f>
        <v/>
      </c>
      <c r="K7" s="56" t="n"/>
      <c r="L7" s="59" t="n"/>
      <c r="M7" s="70">
        <f>IF(K7=0,"-",C7/K7)</f>
        <v/>
      </c>
      <c r="N7" s="71">
        <f>IF(C7=0,"-",L7/C7)</f>
        <v/>
      </c>
    </row>
    <row r="8" ht="15" customHeight="1" s="30">
      <c r="A8" s="60" t="n"/>
      <c r="B8" s="64" t="inlineStr">
        <is>
          <t>LinkedIn</t>
        </is>
      </c>
      <c r="C8" s="62" t="n"/>
      <c r="D8" s="60" t="n"/>
      <c r="E8" s="60" t="n"/>
      <c r="F8" s="65">
        <f>IF(D8=0,"-",E8/D8)</f>
        <v/>
      </c>
      <c r="G8" s="66">
        <f>IF(E8=0,"-",C8/E8)</f>
        <v/>
      </c>
      <c r="H8" s="60" t="n"/>
      <c r="I8" s="60" t="n"/>
      <c r="J8" s="66">
        <f>IF(I8=0,"-",C8/I8)</f>
        <v/>
      </c>
      <c r="K8" s="60" t="n"/>
      <c r="L8" s="62" t="n"/>
      <c r="M8" s="66">
        <f>IF(K8=0,"-",C8/K8)</f>
        <v/>
      </c>
      <c r="N8" s="67">
        <f>IF(C8=0,"-",L8/C8)</f>
        <v/>
      </c>
    </row>
    <row r="9" ht="15" customHeight="1" s="30">
      <c r="A9" s="56" t="n"/>
      <c r="B9" s="68" t="inlineStr">
        <is>
          <t>Referral</t>
        </is>
      </c>
      <c r="C9" s="59" t="n"/>
      <c r="D9" s="56" t="n"/>
      <c r="E9" s="56" t="n"/>
      <c r="F9" s="69">
        <f>IF(D9=0,"-",E9/D9)</f>
        <v/>
      </c>
      <c r="G9" s="70">
        <f>IF(E9=0,"-",C9/E9)</f>
        <v/>
      </c>
      <c r="H9" s="56" t="n"/>
      <c r="I9" s="56" t="n"/>
      <c r="J9" s="70">
        <f>IF(I9=0,"-",C9/I9)</f>
        <v/>
      </c>
      <c r="K9" s="56" t="n"/>
      <c r="L9" s="59" t="n"/>
      <c r="M9" s="70">
        <f>IF(K9=0,"-",C9/K9)</f>
        <v/>
      </c>
      <c r="N9" s="71">
        <f>IF(C9=0,"-",L9/C9)</f>
        <v/>
      </c>
    </row>
    <row r="10" ht="15" customHeight="1" s="30">
      <c r="A10" s="60" t="n"/>
      <c r="B10" s="64" t="inlineStr">
        <is>
          <t>Google Ads</t>
        </is>
      </c>
      <c r="C10" s="62" t="n"/>
      <c r="D10" s="60" t="n"/>
      <c r="E10" s="60" t="n"/>
      <c r="F10" s="65">
        <f>IF(D10=0,"-",E10/D10)</f>
        <v/>
      </c>
      <c r="G10" s="66">
        <f>IF(E10=0,"-",C10/E10)</f>
        <v/>
      </c>
      <c r="H10" s="60" t="n"/>
      <c r="I10" s="60" t="n"/>
      <c r="J10" s="66">
        <f>IF(I10=0,"-",C10/I10)</f>
        <v/>
      </c>
      <c r="K10" s="60" t="n"/>
      <c r="L10" s="62" t="n"/>
      <c r="M10" s="66">
        <f>IF(K10=0,"-",C10/K10)</f>
        <v/>
      </c>
      <c r="N10" s="67">
        <f>IF(C10=0,"-",L10/C10)</f>
        <v/>
      </c>
    </row>
    <row r="11" ht="15" customHeight="1" s="30">
      <c r="A11" s="56" t="n"/>
      <c r="B11" s="68" t="inlineStr">
        <is>
          <t>Meta Ads</t>
        </is>
      </c>
      <c r="C11" s="59" t="n"/>
      <c r="D11" s="56" t="n"/>
      <c r="E11" s="56" t="n"/>
      <c r="F11" s="69">
        <f>IF(D11=0,"-",E11/D11)</f>
        <v/>
      </c>
      <c r="G11" s="70">
        <f>IF(E11=0,"-",C11/E11)</f>
        <v/>
      </c>
      <c r="H11" s="56" t="n"/>
      <c r="I11" s="56" t="n"/>
      <c r="J11" s="70">
        <f>IF(I11=0,"-",C11/I11)</f>
        <v/>
      </c>
      <c r="K11" s="56" t="n"/>
      <c r="L11" s="59" t="n"/>
      <c r="M11" s="70">
        <f>IF(K11=0,"-",C11/K11)</f>
        <v/>
      </c>
      <c r="N11" s="71">
        <f>IF(C11=0,"-",L11/C11)</f>
        <v/>
      </c>
    </row>
    <row r="12" ht="15" customHeight="1" s="30">
      <c r="A12" s="60" t="n"/>
      <c r="B12" s="64" t="inlineStr">
        <is>
          <t>Organic Search</t>
        </is>
      </c>
      <c r="C12" s="62" t="n"/>
      <c r="D12" s="60" t="n"/>
      <c r="E12" s="60" t="n"/>
      <c r="F12" s="65">
        <f>IF(D12=0,"-",E12/D12)</f>
        <v/>
      </c>
      <c r="G12" s="66">
        <f>IF(E12=0,"-",C12/E12)</f>
        <v/>
      </c>
      <c r="H12" s="60" t="n"/>
      <c r="I12" s="60" t="n"/>
      <c r="J12" s="66">
        <f>IF(I12=0,"-",C12/I12)</f>
        <v/>
      </c>
      <c r="K12" s="60" t="n"/>
      <c r="L12" s="62" t="n"/>
      <c r="M12" s="66">
        <f>IF(K12=0,"-",C12/K12)</f>
        <v/>
      </c>
      <c r="N12" s="67">
        <f>IF(C12=0,"-",L12/C12)</f>
        <v/>
      </c>
    </row>
    <row r="13" ht="15" customHeight="1" s="30">
      <c r="A13" s="56" t="n"/>
      <c r="B13" s="68" t="inlineStr">
        <is>
          <t>Direct</t>
        </is>
      </c>
      <c r="C13" s="59" t="n"/>
      <c r="D13" s="56" t="n"/>
      <c r="E13" s="56" t="n"/>
      <c r="F13" s="69">
        <f>IF(D13=0,"-",E13/D13)</f>
        <v/>
      </c>
      <c r="G13" s="70">
        <f>IF(E13=0,"-",C13/E13)</f>
        <v/>
      </c>
      <c r="H13" s="56" t="n"/>
      <c r="I13" s="56" t="n"/>
      <c r="J13" s="70">
        <f>IF(I13=0,"-",C13/I13)</f>
        <v/>
      </c>
      <c r="K13" s="56" t="n"/>
      <c r="L13" s="59" t="n"/>
      <c r="M13" s="70">
        <f>IF(K13=0,"-",C13/K13)</f>
        <v/>
      </c>
      <c r="N13" s="71">
        <f>IF(C13=0,"-",L13/C13)</f>
        <v/>
      </c>
    </row>
    <row r="14" ht="15" customHeight="1" s="30">
      <c r="A14" s="60" t="n"/>
      <c r="B14" s="64" t="inlineStr">
        <is>
          <t>LinkedIn</t>
        </is>
      </c>
      <c r="C14" s="62" t="n"/>
      <c r="D14" s="60" t="n"/>
      <c r="E14" s="60" t="n"/>
      <c r="F14" s="65">
        <f>IF(D14=0,"-",E14/D14)</f>
        <v/>
      </c>
      <c r="G14" s="66">
        <f>IF(E14=0,"-",C14/E14)</f>
        <v/>
      </c>
      <c r="H14" s="60" t="n"/>
      <c r="I14" s="60" t="n"/>
      <c r="J14" s="66">
        <f>IF(I14=0,"-",C14/I14)</f>
        <v/>
      </c>
      <c r="K14" s="60" t="n"/>
      <c r="L14" s="62" t="n"/>
      <c r="M14" s="66">
        <f>IF(K14=0,"-",C14/K14)</f>
        <v/>
      </c>
      <c r="N14" s="67">
        <f>IF(C14=0,"-",L14/C14)</f>
        <v/>
      </c>
    </row>
    <row r="15" ht="15" customHeight="1" s="30">
      <c r="A15" s="56" t="n"/>
      <c r="B15" s="68" t="inlineStr">
        <is>
          <t>Referral</t>
        </is>
      </c>
      <c r="C15" s="59" t="n"/>
      <c r="D15" s="56" t="n"/>
      <c r="E15" s="56" t="n"/>
      <c r="F15" s="69">
        <f>IF(D15=0,"-",E15/D15)</f>
        <v/>
      </c>
      <c r="G15" s="70">
        <f>IF(E15=0,"-",C15/E15)</f>
        <v/>
      </c>
      <c r="H15" s="56" t="n"/>
      <c r="I15" s="56" t="n"/>
      <c r="J15" s="70">
        <f>IF(I15=0,"-",C15/I15)</f>
        <v/>
      </c>
      <c r="K15" s="56" t="n"/>
      <c r="L15" s="59" t="n"/>
      <c r="M15" s="70">
        <f>IF(K15=0,"-",C15/K15)</f>
        <v/>
      </c>
      <c r="N15" s="71">
        <f>IF(C15=0,"-",L15/C15)</f>
        <v/>
      </c>
    </row>
    <row r="16" ht="15" customHeight="1" s="30">
      <c r="A16" s="60" t="n"/>
      <c r="B16" s="64" t="inlineStr">
        <is>
          <t>Google Ads</t>
        </is>
      </c>
      <c r="C16" s="62" t="n"/>
      <c r="D16" s="60" t="n"/>
      <c r="E16" s="60" t="n"/>
      <c r="F16" s="65">
        <f>IF(D16=0,"-",E16/D16)</f>
        <v/>
      </c>
      <c r="G16" s="66">
        <f>IF(E16=0,"-",C16/E16)</f>
        <v/>
      </c>
      <c r="H16" s="60" t="n"/>
      <c r="I16" s="60" t="n"/>
      <c r="J16" s="66">
        <f>IF(I16=0,"-",C16/I16)</f>
        <v/>
      </c>
      <c r="K16" s="60" t="n"/>
      <c r="L16" s="62" t="n"/>
      <c r="M16" s="66">
        <f>IF(K16=0,"-",C16/K16)</f>
        <v/>
      </c>
      <c r="N16" s="67">
        <f>IF(C16=0,"-",L16/C16)</f>
        <v/>
      </c>
    </row>
    <row r="17" ht="15" customHeight="1" s="30">
      <c r="A17" s="56" t="n"/>
      <c r="B17" s="68" t="inlineStr">
        <is>
          <t>Meta Ads</t>
        </is>
      </c>
      <c r="C17" s="59" t="n"/>
      <c r="D17" s="56" t="n"/>
      <c r="E17" s="56" t="n"/>
      <c r="F17" s="69">
        <f>IF(D17=0,"-",E17/D17)</f>
        <v/>
      </c>
      <c r="G17" s="70">
        <f>IF(E17=0,"-",C17/E17)</f>
        <v/>
      </c>
      <c r="H17" s="56" t="n"/>
      <c r="I17" s="56" t="n"/>
      <c r="J17" s="70">
        <f>IF(I17=0,"-",C17/I17)</f>
        <v/>
      </c>
      <c r="K17" s="56" t="n"/>
      <c r="L17" s="59" t="n"/>
      <c r="M17" s="70">
        <f>IF(K17=0,"-",C17/K17)</f>
        <v/>
      </c>
      <c r="N17" s="71">
        <f>IF(C17=0,"-",L17/C17)</f>
        <v/>
      </c>
    </row>
    <row r="18" ht="15" customHeight="1" s="30">
      <c r="A18" s="60" t="n"/>
      <c r="B18" s="64" t="inlineStr">
        <is>
          <t>Organic Search</t>
        </is>
      </c>
      <c r="C18" s="62" t="n"/>
      <c r="D18" s="60" t="n"/>
      <c r="E18" s="60" t="n"/>
      <c r="F18" s="65">
        <f>IF(D18=0,"-",E18/D18)</f>
        <v/>
      </c>
      <c r="G18" s="66">
        <f>IF(E18=0,"-",C18/E18)</f>
        <v/>
      </c>
      <c r="H18" s="60" t="n"/>
      <c r="I18" s="60" t="n"/>
      <c r="J18" s="66">
        <f>IF(I18=0,"-",C18/I18)</f>
        <v/>
      </c>
      <c r="K18" s="60" t="n"/>
      <c r="L18" s="62" t="n"/>
      <c r="M18" s="66">
        <f>IF(K18=0,"-",C18/K18)</f>
        <v/>
      </c>
      <c r="N18" s="67">
        <f>IF(C18=0,"-",L18/C18)</f>
        <v/>
      </c>
    </row>
    <row r="19" ht="15" customHeight="1" s="30">
      <c r="A19" s="56" t="n"/>
      <c r="B19" s="68" t="inlineStr">
        <is>
          <t>Direct</t>
        </is>
      </c>
      <c r="C19" s="59" t="n"/>
      <c r="D19" s="56" t="n"/>
      <c r="E19" s="56" t="n"/>
      <c r="F19" s="69">
        <f>IF(D19=0,"-",E19/D19)</f>
        <v/>
      </c>
      <c r="G19" s="70">
        <f>IF(E19=0,"-",C19/E19)</f>
        <v/>
      </c>
      <c r="H19" s="56" t="n"/>
      <c r="I19" s="56" t="n"/>
      <c r="J19" s="70">
        <f>IF(I19=0,"-",C19/I19)</f>
        <v/>
      </c>
      <c r="K19" s="56" t="n"/>
      <c r="L19" s="59" t="n"/>
      <c r="M19" s="70">
        <f>IF(K19=0,"-",C19/K19)</f>
        <v/>
      </c>
      <c r="N19" s="71">
        <f>IF(C19=0,"-",L19/C19)</f>
        <v/>
      </c>
    </row>
    <row r="20" ht="15" customHeight="1" s="30">
      <c r="A20" s="60" t="n"/>
      <c r="B20" s="64" t="inlineStr">
        <is>
          <t>LinkedIn</t>
        </is>
      </c>
      <c r="C20" s="62" t="n"/>
      <c r="D20" s="60" t="n"/>
      <c r="E20" s="60" t="n"/>
      <c r="F20" s="65">
        <f>IF(D20=0,"-",E20/D20)</f>
        <v/>
      </c>
      <c r="G20" s="66">
        <f>IF(E20=0,"-",C20/E20)</f>
        <v/>
      </c>
      <c r="H20" s="60" t="n"/>
      <c r="I20" s="60" t="n"/>
      <c r="J20" s="66">
        <f>IF(I20=0,"-",C20/I20)</f>
        <v/>
      </c>
      <c r="K20" s="60" t="n"/>
      <c r="L20" s="62" t="n"/>
      <c r="M20" s="66">
        <f>IF(K20=0,"-",C20/K20)</f>
        <v/>
      </c>
      <c r="N20" s="67">
        <f>IF(C20=0,"-",L20/C20)</f>
        <v/>
      </c>
    </row>
    <row r="21" ht="15" customHeight="1" s="30">
      <c r="A21" s="56" t="n"/>
      <c r="B21" s="68" t="inlineStr">
        <is>
          <t>Referral</t>
        </is>
      </c>
      <c r="C21" s="59" t="n"/>
      <c r="D21" s="56" t="n"/>
      <c r="E21" s="56" t="n"/>
      <c r="F21" s="69">
        <f>IF(D21=0,"-",E21/D21)</f>
        <v/>
      </c>
      <c r="G21" s="70">
        <f>IF(E21=0,"-",C21/E21)</f>
        <v/>
      </c>
      <c r="H21" s="56" t="n"/>
      <c r="I21" s="56" t="n"/>
      <c r="J21" s="70">
        <f>IF(I21=0,"-",C21/I21)</f>
        <v/>
      </c>
      <c r="K21" s="56" t="n"/>
      <c r="L21" s="59" t="n"/>
      <c r="M21" s="70">
        <f>IF(K21=0,"-",C21/K21)</f>
        <v/>
      </c>
      <c r="N21" s="71">
        <f>IF(C21=0,"-",L21/C21)</f>
        <v/>
      </c>
    </row>
    <row r="22" ht="15" customHeight="1" s="30">
      <c r="A22" s="60" t="n"/>
      <c r="B22" s="64" t="inlineStr">
        <is>
          <t>Google Ads</t>
        </is>
      </c>
      <c r="C22" s="62" t="n"/>
      <c r="D22" s="60" t="n"/>
      <c r="E22" s="60" t="n"/>
      <c r="F22" s="65">
        <f>IF(D22=0,"-",E22/D22)</f>
        <v/>
      </c>
      <c r="G22" s="66">
        <f>IF(E22=0,"-",C22/E22)</f>
        <v/>
      </c>
      <c r="H22" s="60" t="n"/>
      <c r="I22" s="60" t="n"/>
      <c r="J22" s="66">
        <f>IF(I22=0,"-",C22/I22)</f>
        <v/>
      </c>
      <c r="K22" s="60" t="n"/>
      <c r="L22" s="62" t="n"/>
      <c r="M22" s="66">
        <f>IF(K22=0,"-",C22/K22)</f>
        <v/>
      </c>
      <c r="N22" s="67">
        <f>IF(C22=0,"-",L22/C22)</f>
        <v/>
      </c>
    </row>
    <row r="23" ht="15" customHeight="1" s="30">
      <c r="A23" s="56" t="n"/>
      <c r="B23" s="68" t="inlineStr">
        <is>
          <t>Meta Ads</t>
        </is>
      </c>
      <c r="C23" s="59" t="n"/>
      <c r="D23" s="56" t="n"/>
      <c r="E23" s="56" t="n"/>
      <c r="F23" s="69">
        <f>IF(D23=0,"-",E23/D23)</f>
        <v/>
      </c>
      <c r="G23" s="70">
        <f>IF(E23=0,"-",C23/E23)</f>
        <v/>
      </c>
      <c r="H23" s="56" t="n"/>
      <c r="I23" s="56" t="n"/>
      <c r="J23" s="70">
        <f>IF(I23=0,"-",C23/I23)</f>
        <v/>
      </c>
      <c r="K23" s="56" t="n"/>
      <c r="L23" s="59" t="n"/>
      <c r="M23" s="70">
        <f>IF(K23=0,"-",C23/K23)</f>
        <v/>
      </c>
      <c r="N23" s="71">
        <f>IF(C23=0,"-",L23/C23)</f>
        <v/>
      </c>
    </row>
    <row r="24" ht="15" customHeight="1" s="30">
      <c r="A24" s="60" t="n"/>
      <c r="B24" s="64" t="inlineStr">
        <is>
          <t>Organic Search</t>
        </is>
      </c>
      <c r="C24" s="62" t="n"/>
      <c r="D24" s="60" t="n"/>
      <c r="E24" s="60" t="n"/>
      <c r="F24" s="65">
        <f>IF(D24=0,"-",E24/D24)</f>
        <v/>
      </c>
      <c r="G24" s="66">
        <f>IF(E24=0,"-",C24/E24)</f>
        <v/>
      </c>
      <c r="H24" s="60" t="n"/>
      <c r="I24" s="60" t="n"/>
      <c r="J24" s="66">
        <f>IF(I24=0,"-",C24/I24)</f>
        <v/>
      </c>
      <c r="K24" s="60" t="n"/>
      <c r="L24" s="62" t="n"/>
      <c r="M24" s="66">
        <f>IF(K24=0,"-",C24/K24)</f>
        <v/>
      </c>
      <c r="N24" s="67">
        <f>IF(C24=0,"-",L24/C24)</f>
        <v/>
      </c>
    </row>
    <row r="25" ht="15" customHeight="1" s="30">
      <c r="A25" s="56" t="n"/>
      <c r="B25" s="68" t="inlineStr">
        <is>
          <t>Direct</t>
        </is>
      </c>
      <c r="C25" s="59" t="n"/>
      <c r="D25" s="56" t="n"/>
      <c r="E25" s="56" t="n"/>
      <c r="F25" s="69">
        <f>IF(D25=0,"-",E25/D25)</f>
        <v/>
      </c>
      <c r="G25" s="70">
        <f>IF(E25=0,"-",C25/E25)</f>
        <v/>
      </c>
      <c r="H25" s="56" t="n"/>
      <c r="I25" s="56" t="n"/>
      <c r="J25" s="70">
        <f>IF(I25=0,"-",C25/I25)</f>
        <v/>
      </c>
      <c r="K25" s="56" t="n"/>
      <c r="L25" s="59" t="n"/>
      <c r="M25" s="70">
        <f>IF(K25=0,"-",C25/K25)</f>
        <v/>
      </c>
      <c r="N25" s="71">
        <f>IF(C25=0,"-",L25/C25)</f>
        <v/>
      </c>
    </row>
    <row r="26" ht="15" customHeight="1" s="30">
      <c r="A26" s="60" t="n"/>
      <c r="B26" s="64" t="inlineStr">
        <is>
          <t>LinkedIn</t>
        </is>
      </c>
      <c r="C26" s="62" t="n"/>
      <c r="D26" s="60" t="n"/>
      <c r="E26" s="60" t="n"/>
      <c r="F26" s="65">
        <f>IF(D26=0,"-",E26/D26)</f>
        <v/>
      </c>
      <c r="G26" s="66">
        <f>IF(E26=0,"-",C26/E26)</f>
        <v/>
      </c>
      <c r="H26" s="60" t="n"/>
      <c r="I26" s="60" t="n"/>
      <c r="J26" s="66">
        <f>IF(I26=0,"-",C26/I26)</f>
        <v/>
      </c>
      <c r="K26" s="60" t="n"/>
      <c r="L26" s="62" t="n"/>
      <c r="M26" s="66">
        <f>IF(K26=0,"-",C26/K26)</f>
        <v/>
      </c>
      <c r="N26" s="67">
        <f>IF(C26=0,"-",L26/C26)</f>
        <v/>
      </c>
    </row>
    <row r="27" ht="15" customHeight="1" s="30">
      <c r="A27" s="56" t="n"/>
      <c r="B27" s="68" t="inlineStr">
        <is>
          <t>Referral</t>
        </is>
      </c>
      <c r="C27" s="59" t="n"/>
      <c r="D27" s="56" t="n"/>
      <c r="E27" s="56" t="n"/>
      <c r="F27" s="69">
        <f>IF(D27=0,"-",E27/D27)</f>
        <v/>
      </c>
      <c r="G27" s="70">
        <f>IF(E27=0,"-",C27/E27)</f>
        <v/>
      </c>
      <c r="H27" s="56" t="n"/>
      <c r="I27" s="56" t="n"/>
      <c r="J27" s="70">
        <f>IF(I27=0,"-",C27/I27)</f>
        <v/>
      </c>
      <c r="K27" s="56" t="n"/>
      <c r="L27" s="59" t="n"/>
      <c r="M27" s="70">
        <f>IF(K27=0,"-",C27/K27)</f>
        <v/>
      </c>
      <c r="N27" s="71">
        <f>IF(C27=0,"-",L27/C27)</f>
        <v/>
      </c>
    </row>
  </sheetData>
  <mergeCells count="2"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8B4513"/>
    <outlinePr summaryBelow="1" summaryRight="1"/>
    <pageSetUpPr fitToPage="0"/>
  </sheetPr>
  <dimension ref="A1:H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46" min="1" max="8"/>
  </cols>
  <sheetData>
    <row r="1" ht="17.35" customHeight="1" s="30">
      <c r="A1" s="47" t="inlineStr">
        <is>
          <t>MINDCRAFT — Raw Data Paste Zone</t>
        </is>
      </c>
    </row>
    <row r="3" ht="15" customHeight="1" s="30">
      <c r="A3" s="72" t="inlineStr">
        <is>
          <t>GA4 DATA (auto-refreshed via Google Analytics Sheets add-on)</t>
        </is>
      </c>
    </row>
    <row r="4" ht="15" customHeight="1" s="30">
      <c r="A4" s="63" t="inlineStr">
        <is>
          <t>Paste or auto-pull GA4 data below. Columns: Date | Source/Medium | Sessions | New Users | Returning Users | Avg Session Duration | Conversions | Revenue</t>
        </is>
      </c>
    </row>
    <row r="5" ht="23.85" customHeight="1" s="30">
      <c r="A5" s="73" t="inlineStr">
        <is>
          <t>Date</t>
        </is>
      </c>
      <c r="B5" s="73" t="inlineStr">
        <is>
          <t>Source/Medium</t>
        </is>
      </c>
      <c r="C5" s="73" t="inlineStr">
        <is>
          <t>Sessions</t>
        </is>
      </c>
      <c r="D5" s="73" t="inlineStr">
        <is>
          <t>New Users</t>
        </is>
      </c>
      <c r="E5" s="73" t="inlineStr">
        <is>
          <t>Returning Users</t>
        </is>
      </c>
      <c r="F5" s="73" t="inlineStr">
        <is>
          <t>Avg Session Duration</t>
        </is>
      </c>
      <c r="G5" s="73" t="inlineStr">
        <is>
          <t>Conversions</t>
        </is>
      </c>
      <c r="H5" s="73" t="inlineStr">
        <is>
          <t>Revenue</t>
        </is>
      </c>
    </row>
    <row r="25" ht="15" customHeight="1" s="30">
      <c r="A25" s="74" t="inlineStr">
        <is>
          <t>GOOGLE ADS DATA (auto-refreshed via Google Ads Sheets add-on)</t>
        </is>
      </c>
    </row>
    <row r="26" ht="15" customHeight="1" s="30">
      <c r="A26" s="63" t="inlineStr">
        <is>
          <t>Paste or auto-pull Google Ads data below. Columns: Date | Campaign | Impressions | Clicks | Cost | Conversions | Conv. Value</t>
        </is>
      </c>
    </row>
    <row r="27" ht="15" customHeight="1" s="30">
      <c r="A27" s="73" t="inlineStr">
        <is>
          <t>Date</t>
        </is>
      </c>
      <c r="B27" s="73" t="inlineStr">
        <is>
          <t>Campaign</t>
        </is>
      </c>
      <c r="C27" s="73" t="inlineStr">
        <is>
          <t>Impressions</t>
        </is>
      </c>
      <c r="D27" s="73" t="inlineStr">
        <is>
          <t>Clicks</t>
        </is>
      </c>
      <c r="E27" s="73" t="inlineStr">
        <is>
          <t>Cost</t>
        </is>
      </c>
      <c r="F27" s="73" t="inlineStr">
        <is>
          <t>Conversions</t>
        </is>
      </c>
      <c r="G27" s="73" t="inlineStr">
        <is>
          <t>Conv. Value</t>
        </is>
      </c>
      <c r="H27" s="73" t="n"/>
    </row>
    <row r="45" ht="15" customHeight="1" s="30">
      <c r="A45" s="74" t="inlineStr">
        <is>
          <t>META ADS DATA (manual CSV paste weekly)</t>
        </is>
      </c>
    </row>
    <row r="46" ht="15" customHeight="1" s="30">
      <c r="A46" s="63" t="inlineStr">
        <is>
          <t>Export from Meta Ads Manager → paste below. Columns: Date | Campaign | Impressions | Clicks | Spend | Results | Cost per Result</t>
        </is>
      </c>
    </row>
    <row r="47" ht="15" customHeight="1" s="30">
      <c r="A47" s="73" t="inlineStr">
        <is>
          <t>Date</t>
        </is>
      </c>
      <c r="B47" s="73" t="inlineStr">
        <is>
          <t>Campaign</t>
        </is>
      </c>
      <c r="C47" s="73" t="inlineStr">
        <is>
          <t>Impressions</t>
        </is>
      </c>
      <c r="D47" s="73" t="inlineStr">
        <is>
          <t>Clicks</t>
        </is>
      </c>
      <c r="E47" s="73" t="inlineStr">
        <is>
          <t>Spend</t>
        </is>
      </c>
      <c r="F47" s="73" t="inlineStr">
        <is>
          <t>Results</t>
        </is>
      </c>
      <c r="G47" s="73" t="inlineStr">
        <is>
          <t>Cost per Result</t>
        </is>
      </c>
      <c r="H47" s="73" t="n"/>
    </row>
    <row r="65" ht="15" customHeight="1" s="30">
      <c r="A65" s="74" t="inlineStr">
        <is>
          <t>STRIPE DATA (manual CSV paste weekly)</t>
        </is>
      </c>
    </row>
    <row r="66" ht="15" customHeight="1" s="30">
      <c r="A66" s="63" t="inlineStr">
        <is>
          <t>Export from Stripe Dashboard → Payments → Export. Columns: Date | Customer | Amount | Fee | Net | Status | Description</t>
        </is>
      </c>
    </row>
    <row r="67" ht="15" customHeight="1" s="30">
      <c r="A67" s="73" t="inlineStr">
        <is>
          <t>Date</t>
        </is>
      </c>
      <c r="B67" s="73" t="inlineStr">
        <is>
          <t>Customer</t>
        </is>
      </c>
      <c r="C67" s="73" t="inlineStr">
        <is>
          <t>Amount</t>
        </is>
      </c>
      <c r="D67" s="73" t="inlineStr">
        <is>
          <t>Fee</t>
        </is>
      </c>
      <c r="E67" s="73" t="inlineStr">
        <is>
          <t>Net</t>
        </is>
      </c>
      <c r="F67" s="73" t="inlineStr">
        <is>
          <t>Status</t>
        </is>
      </c>
      <c r="G67" s="73" t="inlineStr">
        <is>
          <t>Description</t>
        </is>
      </c>
      <c r="H67" s="73" t="n"/>
    </row>
  </sheetData>
  <mergeCells count="9">
    <mergeCell ref="A1:H1"/>
    <mergeCell ref="A4:H4"/>
    <mergeCell ref="A3:H3"/>
    <mergeCell ref="A26:H26"/>
    <mergeCell ref="A25:H25"/>
    <mergeCell ref="A65:H65"/>
    <mergeCell ref="A66:H66"/>
    <mergeCell ref="A45:H45"/>
    <mergeCell ref="A46:H4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228B22"/>
    <outlinePr summaryBelow="1" summaryRight="1"/>
    <pageSetUpPr fitToPage="0"/>
  </sheetPr>
  <dimension ref="A1:A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0" customWidth="1" style="46" min="1" max="1"/>
  </cols>
  <sheetData>
    <row r="1" ht="17.35" customHeight="1" s="30">
      <c r="A1" s="75" t="inlineStr">
        <is>
          <t>MINDCRAFT FUNNEL TRACKER — SETUP GUIDE</t>
        </is>
      </c>
    </row>
    <row r="3" ht="15" customHeight="1" s="30">
      <c r="A3" s="76" t="inlineStr">
        <is>
          <t>STEP 1: GA4 → Google Sheets (automated)</t>
        </is>
      </c>
    </row>
    <row r="4" ht="15" customHeight="1" s="30">
      <c r="A4" s="77" t="inlineStr">
        <is>
          <t>1. In Google Sheets, go to Extensions → Add-ons → Get add-ons</t>
        </is>
      </c>
    </row>
    <row r="5" ht="15" customHeight="1" s="30">
      <c r="A5" s="77" t="inlineStr">
        <is>
          <t>2. Search for 'Google Analytics' by Google → Install</t>
        </is>
      </c>
    </row>
    <row r="6" ht="15" customHeight="1" s="30">
      <c r="A6" s="77" t="inlineStr">
        <is>
          <t>3. Go to Extensions → Google Analytics → Create new report</t>
        </is>
      </c>
    </row>
    <row r="7" ht="15" customHeight="1" s="30">
      <c r="A7" s="77" t="inlineStr">
        <is>
          <t>4. Select your GA4 property and configure:</t>
        </is>
      </c>
    </row>
    <row r="8" ht="15" customHeight="1" s="30">
      <c r="A8" s="77" t="inlineStr">
        <is>
          <t xml:space="preserve">   - Metrics: sessions, newUsers, screenPageViews, averageSessionDuration, conversions, totalRevenue</t>
        </is>
      </c>
    </row>
    <row r="9" ht="15" customHeight="1" s="30">
      <c r="A9" s="77" t="inlineStr">
        <is>
          <t xml:space="preserve">   - Dimensions: date, sessionSourceMedium</t>
        </is>
      </c>
    </row>
    <row r="10" ht="15" customHeight="1" s="30">
      <c r="A10" s="77" t="inlineStr">
        <is>
          <t>5. Set date range to 'Last 7 days'</t>
        </is>
      </c>
    </row>
    <row r="11" ht="15" customHeight="1" s="30">
      <c r="A11" s="77" t="inlineStr">
        <is>
          <t>6. Run report → data populates in Raw Data Log tab</t>
        </is>
      </c>
    </row>
    <row r="12" ht="15" customHeight="1" s="30">
      <c r="A12" s="77" t="inlineStr">
        <is>
          <t>7. Schedule: Extensions → Google Analytics → Schedule reports → Weekly on Monday</t>
        </is>
      </c>
    </row>
    <row r="14" ht="15" customHeight="1" s="30">
      <c r="A14" s="76" t="inlineStr">
        <is>
          <t>STEP 2: Google Ads → Google Sheets (automated)</t>
        </is>
      </c>
    </row>
    <row r="15" ht="15" customHeight="1" s="30">
      <c r="A15" s="77" t="inlineStr">
        <is>
          <t>1. In Google Sheets, go to Extensions → Add-ons → Get add-ons</t>
        </is>
      </c>
    </row>
    <row r="16" ht="15" customHeight="1" s="30">
      <c r="A16" s="77" t="inlineStr">
        <is>
          <t>2. Search for 'Google Ads' add-on → Install</t>
        </is>
      </c>
    </row>
    <row r="17" ht="15" customHeight="1" s="30">
      <c r="A17" s="77" t="inlineStr">
        <is>
          <t>3. Configure report: Campaign, Impressions, Clicks, Cost, Conversions, Conversion Value</t>
        </is>
      </c>
    </row>
    <row r="18" ht="15" customHeight="1" s="30">
      <c r="A18" s="77" t="inlineStr">
        <is>
          <t>4. Set date range to last 7 days, schedule weekly refresh</t>
        </is>
      </c>
    </row>
    <row r="20" ht="15" customHeight="1" s="30">
      <c r="A20" s="76" t="inlineStr">
        <is>
          <t>STEP 3: Meta Ads → Manual (5 min/week)</t>
        </is>
      </c>
    </row>
    <row r="21" ht="15" customHeight="1" s="30">
      <c r="A21" s="77" t="inlineStr">
        <is>
          <t>1. Log into Meta Ads Manager</t>
        </is>
      </c>
    </row>
    <row r="22" ht="15" customHeight="1" s="30">
      <c r="A22" s="77" t="inlineStr">
        <is>
          <t>2. Set date range to the past week</t>
        </is>
      </c>
    </row>
    <row r="23" ht="15" customHeight="1" s="30">
      <c r="A23" s="77" t="inlineStr">
        <is>
          <t>3. Click Export → Download as CSV</t>
        </is>
      </c>
    </row>
    <row r="24" ht="15" customHeight="1" s="30">
      <c r="A24" s="77" t="inlineStr">
        <is>
          <t>4. Open CSV, copy the data rows</t>
        </is>
      </c>
    </row>
    <row r="25" ht="15" customHeight="1" s="30">
      <c r="A25" s="77" t="inlineStr">
        <is>
          <t>5. Paste into Raw Data Log tab under META ADS section</t>
        </is>
      </c>
    </row>
    <row r="27" ht="15" customHeight="1" s="30">
      <c r="A27" s="76" t="inlineStr">
        <is>
          <t>STEP 4: Stripe → Manual (5 min/week)</t>
        </is>
      </c>
    </row>
    <row r="28" ht="15" customHeight="1" s="30">
      <c r="A28" s="77" t="inlineStr">
        <is>
          <t>1. Log into Stripe Dashboard → Payments</t>
        </is>
      </c>
    </row>
    <row r="29" ht="15" customHeight="1" s="30">
      <c r="A29" s="77" t="inlineStr">
        <is>
          <t>2. Filter to past week</t>
        </is>
      </c>
    </row>
    <row r="30" ht="15" customHeight="1" s="30">
      <c r="A30" s="77" t="inlineStr">
        <is>
          <t>3. Click Export → Download CSV</t>
        </is>
      </c>
    </row>
    <row r="31" ht="15" customHeight="1" s="30">
      <c r="A31" s="77" t="inlineStr">
        <is>
          <t>4. Open CSV, copy the data rows</t>
        </is>
      </c>
    </row>
    <row r="32" ht="15" customHeight="1" s="30">
      <c r="A32" s="77" t="inlineStr">
        <is>
          <t>5. Paste into Raw Data Log tab under STRIPE section</t>
        </is>
      </c>
    </row>
    <row r="34" ht="15" customHeight="1" s="30">
      <c r="A34" s="76" t="inlineStr">
        <is>
          <t>STEP 5: Weekly Review Routine (every Monday)</t>
        </is>
      </c>
    </row>
    <row r="35" ht="15" customHeight="1" s="30">
      <c r="A35" s="77" t="inlineStr">
        <is>
          <t>1. GA4 and Google Ads data auto-refresh — verify it populated</t>
        </is>
      </c>
    </row>
    <row r="36" ht="15" customHeight="1" s="30">
      <c r="A36" s="77" t="inlineStr">
        <is>
          <t>2. Pull Meta Ads and Stripe CSVs (5 min)</t>
        </is>
      </c>
    </row>
    <row r="37" ht="15" customHeight="1" s="30">
      <c r="A37" s="77" t="inlineStr">
        <is>
          <t>3. Summarize weekly totals into the Weekly Funnel tab (row per week)</t>
        </is>
      </c>
    </row>
    <row r="38" ht="15" customHeight="1" s="30">
      <c r="A38" s="77" t="inlineStr">
        <is>
          <t>4. Break down by channel in the Channel Breakdown tab</t>
        </is>
      </c>
    </row>
    <row r="39" ht="15" customHeight="1" s="30">
      <c r="A39" s="77" t="inlineStr">
        <is>
          <t>5. Review: What moved? What needs action? Any channel to cut or scale?</t>
        </is>
      </c>
    </row>
    <row r="41" ht="15" customHeight="1" s="30">
      <c r="A41" s="76" t="inlineStr">
        <is>
          <t>COLOR CODE:</t>
        </is>
      </c>
    </row>
    <row r="42" ht="15" customHeight="1" s="30">
      <c r="A42" s="78" t="inlineStr">
        <is>
          <t>Blue text = manual input cells (you type here)</t>
        </is>
      </c>
    </row>
    <row r="43" ht="15" customHeight="1" s="30">
      <c r="A43" s="79" t="inlineStr">
        <is>
          <t>Black text = formula cells (auto-calculated, don't overwrite)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2026-04-07T18:06:01Z</dcterms:created>
  <dcterms:modified xmlns:dcterms="http://purl.org/dc/terms/" xmlns:xsi="http://www.w3.org/2001/XMLSchema-instance" xsi:type="dcterms:W3CDTF">2026-04-07T20:29:13Z</dcterms:modified>
  <cp:revision>0</cp:revision>
</cp:coreProperties>
</file>